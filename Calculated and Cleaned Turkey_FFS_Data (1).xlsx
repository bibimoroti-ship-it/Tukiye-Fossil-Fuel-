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ables/table4.xml" ContentType="application/vnd.openxmlformats-officedocument.spreadsheetml.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DC203E46-F958-4E2E-93E8-AD8E5FAB54E6}" xr6:coauthVersionLast="36" xr6:coauthVersionMax="47" xr10:uidLastSave="{00000000-0000-0000-0000-000000000000}"/>
  <bookViews>
    <workbookView xWindow="-120" yWindow="-120" windowWidth="29040" windowHeight="15720" firstSheet="3" activeTab="5" xr2:uid="{373FA2C4-2AEA-4F02-9E37-920C7F310A22}"/>
  </bookViews>
  <sheets>
    <sheet name="Turkey_Fossil_Fuel_Support_Enha" sheetId="1" r:id="rId1"/>
    <sheet name="Master Sheet" sheetId="2" r:id="rId2"/>
    <sheet name="CPI Benchmarks" sheetId="3" r:id="rId3"/>
    <sheet name="EDA" sheetId="9" r:id="rId4"/>
    <sheet name="Advanced Analysis" sheetId="12" r:id="rId5"/>
    <sheet name="Dashboard" sheetId="14" r:id="rId6"/>
    <sheet name="Sheet1" sheetId="4" r:id="rId7"/>
    <sheet name="Sheet3" sheetId="6" r:id="rId8"/>
  </sheets>
  <externalReferences>
    <externalReference r:id="rId9"/>
  </externalReferences>
  <definedNames>
    <definedName name="_xlchart.v1.0" hidden="1">'Advanced Analysis'!$T$9:$T$34</definedName>
    <definedName name="_xlchart.v1.1" hidden="1">'Advanced Analysis'!$U$8</definedName>
    <definedName name="_xlchart.v1.2" hidden="1">'Advanced Analysis'!$U$9:$U$34</definedName>
    <definedName name="Slicer_Is_Recurring">#N/A</definedName>
    <definedName name="Slicer_Support_Structure_Name">#N/A</definedName>
    <definedName name="Slicer_Support_Type">#N/A</definedName>
    <definedName name="Slicer_Trend">#N/A</definedName>
    <definedName name="Slicer_Year">#N/A</definedName>
  </definedNames>
  <calcPr calcId="191029"/>
  <pivotCaches>
    <pivotCache cacheId="0" r:id="rId10"/>
    <pivotCache cacheId="5" r:id="rId11"/>
    <pivotCache cacheId="2" r:id="rId12"/>
    <pivotCache cacheId="3" r:id="rId13"/>
  </pivotCaches>
  <extLst>
    <ext xmlns:x14="http://schemas.microsoft.com/office/spreadsheetml/2009/9/main" uri="{876F7934-8845-4945-9796-88D515C7AA90}">
      <x14:pivotCaches>
        <pivotCache cacheId="4"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R11" i="12" l="1"/>
  <c r="R12" i="12"/>
  <c r="R13" i="12"/>
  <c r="R8" i="12"/>
  <c r="R9" i="12"/>
  <c r="R10" i="12"/>
  <c r="R7" i="12"/>
  <c r="M11" i="12"/>
  <c r="M12" i="12"/>
  <c r="M13" i="12"/>
  <c r="M14" i="12"/>
  <c r="M15" i="12"/>
  <c r="M16" i="12"/>
  <c r="M17" i="12"/>
  <c r="M18" i="12"/>
  <c r="M19" i="12"/>
  <c r="M20" i="12"/>
  <c r="M21" i="12"/>
  <c r="M22" i="12"/>
  <c r="M23" i="12"/>
  <c r="M24" i="12"/>
  <c r="M25" i="12"/>
  <c r="M26" i="12"/>
  <c r="M27" i="12"/>
  <c r="M28" i="12"/>
  <c r="M29" i="12"/>
  <c r="M30" i="12"/>
  <c r="M31" i="12"/>
  <c r="M32" i="12"/>
  <c r="E123" i="12" l="1"/>
  <c r="E122" i="12"/>
  <c r="E121" i="12"/>
  <c r="E120" i="12"/>
  <c r="E119" i="12"/>
  <c r="E118" i="12"/>
  <c r="E117" i="12"/>
  <c r="E116" i="12"/>
  <c r="E115" i="12"/>
  <c r="E114" i="12"/>
  <c r="E113" i="12"/>
  <c r="E112" i="12"/>
  <c r="E111" i="12"/>
  <c r="E110" i="12"/>
  <c r="E109" i="12"/>
  <c r="E108" i="12"/>
  <c r="E107" i="12"/>
  <c r="E106" i="12"/>
  <c r="E105" i="12"/>
  <c r="E104" i="12"/>
  <c r="E103" i="12"/>
  <c r="E102" i="12"/>
  <c r="E101" i="12"/>
  <c r="E100" i="12"/>
  <c r="E99" i="12"/>
  <c r="E98" i="12"/>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G105" i="4"/>
  <c r="G104" i="4"/>
  <c r="H104" i="4" s="1"/>
  <c r="G103" i="4"/>
  <c r="H103" i="4" s="1"/>
  <c r="H102" i="4"/>
  <c r="G102" i="4"/>
  <c r="G101" i="4"/>
  <c r="G100" i="4"/>
  <c r="H100" i="4" s="1"/>
  <c r="G99" i="4"/>
  <c r="H99" i="4" s="1"/>
  <c r="H98" i="4"/>
  <c r="G98" i="4"/>
  <c r="G97" i="4"/>
  <c r="H97" i="4" s="1"/>
  <c r="G96" i="4"/>
  <c r="G95" i="4"/>
  <c r="H94" i="4"/>
  <c r="G94" i="4"/>
  <c r="G93" i="4"/>
  <c r="G92" i="4"/>
  <c r="H92" i="4" s="1"/>
  <c r="G91" i="4"/>
  <c r="H90" i="4"/>
  <c r="G90" i="4"/>
  <c r="G89" i="4"/>
  <c r="H89" i="4" s="1"/>
  <c r="G88" i="4"/>
  <c r="H88" i="4" s="1"/>
  <c r="G87" i="4"/>
  <c r="H86" i="4"/>
  <c r="G86" i="4"/>
  <c r="G85" i="4"/>
  <c r="G84" i="4"/>
  <c r="H84" i="4" s="1"/>
  <c r="G83" i="4"/>
  <c r="H82" i="4"/>
  <c r="G82" i="4"/>
  <c r="G81" i="4"/>
  <c r="G80" i="4"/>
  <c r="H80" i="4" s="1"/>
  <c r="G79" i="4"/>
  <c r="H78" i="4"/>
  <c r="G78" i="4"/>
  <c r="G77" i="4"/>
  <c r="G76" i="4"/>
  <c r="G75" i="4"/>
  <c r="H74" i="4"/>
  <c r="G74" i="4"/>
  <c r="G73" i="4"/>
  <c r="G72" i="4"/>
  <c r="G71" i="4"/>
  <c r="H70" i="4"/>
  <c r="G70" i="4"/>
  <c r="G69" i="4"/>
  <c r="G68" i="4"/>
  <c r="G67" i="4"/>
  <c r="H66" i="4"/>
  <c r="G66" i="4"/>
  <c r="G65" i="4"/>
  <c r="G64" i="4"/>
  <c r="H64" i="4" s="1"/>
  <c r="G63" i="4"/>
  <c r="H62" i="4"/>
  <c r="G62" i="4"/>
  <c r="G61" i="4"/>
  <c r="G60" i="4"/>
  <c r="G59" i="4"/>
  <c r="H58" i="4"/>
  <c r="G58" i="4"/>
  <c r="G57" i="4"/>
  <c r="G56" i="4"/>
  <c r="H56" i="4" s="1"/>
  <c r="G55" i="4"/>
  <c r="H54" i="4"/>
  <c r="G54" i="4"/>
  <c r="G53" i="4"/>
  <c r="G52" i="4"/>
  <c r="G51" i="4"/>
  <c r="H50" i="4"/>
  <c r="G50" i="4"/>
  <c r="G49" i="4"/>
  <c r="G48" i="4"/>
  <c r="G47" i="4"/>
  <c r="H46" i="4"/>
  <c r="G46" i="4"/>
  <c r="G45" i="4"/>
  <c r="G44" i="4"/>
  <c r="G43" i="4"/>
  <c r="H42" i="4"/>
  <c r="G42" i="4"/>
  <c r="G41" i="4"/>
  <c r="G40" i="4"/>
  <c r="G39" i="4"/>
  <c r="H38" i="4"/>
  <c r="G38" i="4"/>
  <c r="G37" i="4"/>
  <c r="G36" i="4"/>
  <c r="G35" i="4"/>
  <c r="H34" i="4"/>
  <c r="G34" i="4"/>
  <c r="G33" i="4"/>
  <c r="G32" i="4"/>
  <c r="G31" i="4"/>
  <c r="H30" i="4"/>
  <c r="G30" i="4"/>
  <c r="G29" i="4"/>
  <c r="G28" i="4"/>
  <c r="G27" i="4"/>
  <c r="H26" i="4"/>
  <c r="G26" i="4"/>
  <c r="G25" i="4"/>
  <c r="G24" i="4"/>
  <c r="G23" i="4"/>
  <c r="H22" i="4"/>
  <c r="G22" i="4"/>
  <c r="G21" i="4"/>
  <c r="G20" i="4"/>
  <c r="G19" i="4"/>
  <c r="H18" i="4"/>
  <c r="G18" i="4"/>
  <c r="G17" i="4"/>
  <c r="G16" i="4"/>
  <c r="G15" i="4"/>
  <c r="H14" i="4"/>
  <c r="G14" i="4"/>
  <c r="G13" i="4"/>
  <c r="G12" i="4"/>
  <c r="G11" i="4"/>
  <c r="H10" i="4"/>
  <c r="G10" i="4"/>
  <c r="G9" i="4"/>
  <c r="G8" i="4"/>
  <c r="G7" i="4"/>
  <c r="H6" i="4"/>
  <c r="G6" i="4"/>
  <c r="G5" i="4"/>
  <c r="G4" i="4"/>
  <c r="G3" i="4"/>
  <c r="H2" i="4"/>
  <c r="G2" i="4"/>
  <c r="M7" i="12"/>
  <c r="M8" i="12" s="1"/>
  <c r="M9" i="12" s="1"/>
  <c r="M10" i="12" s="1"/>
  <c r="H81" i="4" l="1"/>
  <c r="H48" i="4"/>
  <c r="H71" i="4"/>
  <c r="H3" i="4"/>
  <c r="H68" i="4"/>
  <c r="H15" i="4"/>
  <c r="H59" i="4"/>
  <c r="H76" i="4"/>
  <c r="H37" i="4"/>
  <c r="H101" i="4"/>
  <c r="H79" i="4"/>
  <c r="H91" i="4"/>
  <c r="H4" i="4"/>
  <c r="H49" i="4"/>
  <c r="H5" i="4"/>
  <c r="H27" i="4"/>
  <c r="H61" i="4"/>
  <c r="H17" i="4"/>
  <c r="H28" i="4"/>
  <c r="H39" i="4"/>
  <c r="H73" i="4"/>
  <c r="H29" i="4"/>
  <c r="H40" i="4"/>
  <c r="H51" i="4"/>
  <c r="H85" i="4"/>
  <c r="H7" i="4"/>
  <c r="H41" i="4"/>
  <c r="H52" i="4"/>
  <c r="H8" i="4"/>
  <c r="H19" i="4"/>
  <c r="H53" i="4"/>
  <c r="H9" i="4"/>
  <c r="H20" i="4"/>
  <c r="H31" i="4"/>
  <c r="H65" i="4"/>
  <c r="H21" i="4"/>
  <c r="H32" i="4"/>
  <c r="H43" i="4"/>
  <c r="H33" i="4"/>
  <c r="H44" i="4"/>
  <c r="H11" i="4"/>
  <c r="H45" i="4"/>
  <c r="H12" i="4"/>
  <c r="H23" i="4"/>
  <c r="H13" i="4"/>
  <c r="H24" i="4"/>
  <c r="H35" i="4"/>
  <c r="H25" i="4"/>
  <c r="H36" i="4"/>
  <c r="H47" i="4"/>
  <c r="H93" i="4"/>
  <c r="H105" i="4"/>
  <c r="H60" i="4"/>
  <c r="H16" i="4"/>
  <c r="H72" i="4"/>
  <c r="H83" i="4"/>
  <c r="H95" i="4"/>
  <c r="H96" i="4"/>
  <c r="H63" i="4"/>
  <c r="H75" i="4"/>
  <c r="H87" i="4"/>
  <c r="H77" i="4"/>
  <c r="H55" i="4"/>
  <c r="H67" i="4"/>
  <c r="H57" i="4"/>
  <c r="H69" i="4"/>
  <c r="T2" i="2" a="1"/>
  <c r="T2" i="2" s="1"/>
  <c r="T3" i="2" a="1"/>
  <c r="T3" i="2" s="1"/>
  <c r="T4" i="2" a="1"/>
  <c r="T4" i="2" s="1"/>
  <c r="T5" i="2" a="1"/>
  <c r="T5" i="2" s="1"/>
  <c r="T6" i="2" a="1"/>
  <c r="T6" i="2" s="1"/>
  <c r="T7" i="2" a="1"/>
  <c r="T7" i="2" s="1"/>
  <c r="T8" i="2" a="1"/>
  <c r="T8" i="2" s="1"/>
  <c r="T9" i="2" a="1"/>
  <c r="T9" i="2" s="1"/>
  <c r="T10" i="2" a="1"/>
  <c r="T10" i="2" s="1"/>
  <c r="T11" i="2" a="1"/>
  <c r="T11" i="2" s="1"/>
  <c r="T12" i="2" a="1"/>
  <c r="T12" i="2" s="1"/>
  <c r="T13" i="2" a="1"/>
  <c r="T13" i="2" s="1"/>
  <c r="T14" i="2" a="1"/>
  <c r="T14" i="2" s="1"/>
  <c r="T15" i="2" a="1"/>
  <c r="T15" i="2" s="1"/>
  <c r="T16" i="2" a="1"/>
  <c r="T16" i="2" s="1"/>
  <c r="T17" i="2" a="1"/>
  <c r="T17" i="2" s="1"/>
  <c r="T18" i="2" a="1"/>
  <c r="T18" i="2" s="1"/>
  <c r="T19" i="2" a="1"/>
  <c r="T19" i="2" s="1"/>
  <c r="T20" i="2" a="1"/>
  <c r="T20" i="2" s="1"/>
  <c r="T21" i="2" a="1"/>
  <c r="T21" i="2" s="1"/>
  <c r="T22" i="2" a="1"/>
  <c r="T22" i="2" s="1"/>
  <c r="T23" i="2" a="1"/>
  <c r="T23" i="2" s="1"/>
  <c r="T24" i="2" a="1"/>
  <c r="T24" i="2" s="1"/>
  <c r="T25" i="2" a="1"/>
  <c r="T25" i="2" s="1"/>
  <c r="T26" i="2" a="1"/>
  <c r="T26" i="2" s="1"/>
  <c r="T27" i="2" a="1"/>
  <c r="T27" i="2" s="1"/>
  <c r="T28" i="2" a="1"/>
  <c r="T28" i="2" s="1"/>
  <c r="T29" i="2" a="1"/>
  <c r="T29" i="2" s="1"/>
  <c r="T30" i="2" a="1"/>
  <c r="T30" i="2" s="1"/>
  <c r="T31" i="2" a="1"/>
  <c r="T31" i="2" s="1"/>
  <c r="T32" i="2" a="1"/>
  <c r="T32" i="2" s="1"/>
  <c r="T33" i="2" a="1"/>
  <c r="T33" i="2" s="1"/>
  <c r="T34" i="2" a="1"/>
  <c r="T34" i="2" s="1"/>
  <c r="T35" i="2" a="1"/>
  <c r="T35" i="2" s="1"/>
  <c r="T36" i="2" a="1"/>
  <c r="T36" i="2" s="1"/>
  <c r="T37" i="2" a="1"/>
  <c r="T37" i="2" s="1"/>
  <c r="T38" i="2" a="1"/>
  <c r="T38" i="2" s="1"/>
  <c r="T39" i="2" a="1"/>
  <c r="T39" i="2" s="1"/>
  <c r="T40" i="2" a="1"/>
  <c r="T40" i="2" s="1"/>
  <c r="T41" i="2" a="1"/>
  <c r="T41" i="2" s="1"/>
  <c r="T42" i="2" a="1"/>
  <c r="T42" i="2" s="1"/>
  <c r="T43" i="2" a="1"/>
  <c r="T43" i="2" s="1"/>
  <c r="T44" i="2" a="1"/>
  <c r="T44" i="2" s="1"/>
  <c r="T45" i="2" a="1"/>
  <c r="T45" i="2" s="1"/>
  <c r="T46" i="2" a="1"/>
  <c r="T46" i="2" s="1"/>
  <c r="T47" i="2" a="1"/>
  <c r="T47" i="2" s="1"/>
  <c r="T48" i="2" a="1"/>
  <c r="T48" i="2" s="1"/>
  <c r="T49" i="2" a="1"/>
  <c r="T49" i="2" s="1"/>
  <c r="T50" i="2" a="1"/>
  <c r="T50" i="2" s="1"/>
  <c r="T51" i="2" a="1"/>
  <c r="T51" i="2" s="1"/>
  <c r="T52" i="2" a="1"/>
  <c r="T52" i="2" s="1"/>
  <c r="T53" i="2" a="1"/>
  <c r="T53" i="2" s="1"/>
  <c r="T54" i="2" a="1"/>
  <c r="T54" i="2" s="1"/>
  <c r="T55" i="2" a="1"/>
  <c r="T55" i="2" s="1"/>
  <c r="T56" i="2" a="1"/>
  <c r="T56" i="2" s="1"/>
  <c r="T57" i="2" a="1"/>
  <c r="T57" i="2" s="1"/>
  <c r="T58" i="2" a="1"/>
  <c r="T58" i="2" s="1"/>
  <c r="T59" i="2" a="1"/>
  <c r="T59" i="2" s="1"/>
  <c r="T60" i="2" a="1"/>
  <c r="T60" i="2" s="1"/>
  <c r="T61" i="2" a="1"/>
  <c r="T61" i="2" s="1"/>
  <c r="T62" i="2" a="1"/>
  <c r="T62" i="2" s="1"/>
  <c r="T63" i="2" a="1"/>
  <c r="T63" i="2" s="1"/>
  <c r="T64" i="2" a="1"/>
  <c r="T64" i="2" s="1"/>
  <c r="T65" i="2" a="1"/>
  <c r="T65" i="2" s="1"/>
  <c r="T66" i="2" a="1"/>
  <c r="T66" i="2" s="1"/>
  <c r="T67" i="2" a="1"/>
  <c r="T67" i="2" s="1"/>
  <c r="T68" i="2" a="1"/>
  <c r="T68" i="2" s="1"/>
  <c r="T69" i="2" a="1"/>
  <c r="T69" i="2" s="1"/>
  <c r="T70" i="2" a="1"/>
  <c r="T70" i="2" s="1"/>
  <c r="T71" i="2" a="1"/>
  <c r="T71" i="2" s="1"/>
  <c r="T72" i="2" a="1"/>
  <c r="T72" i="2" s="1"/>
  <c r="T73" i="2" a="1"/>
  <c r="T73" i="2" s="1"/>
  <c r="T74" i="2" a="1"/>
  <c r="T74" i="2" s="1"/>
  <c r="T75" i="2" a="1"/>
  <c r="T75" i="2" s="1"/>
  <c r="T76" i="2" a="1"/>
  <c r="T76" i="2" s="1"/>
  <c r="T77" i="2" a="1"/>
  <c r="T77" i="2" s="1"/>
  <c r="T78" i="2" a="1"/>
  <c r="T78" i="2" s="1"/>
  <c r="T79" i="2" a="1"/>
  <c r="T79" i="2" s="1"/>
  <c r="T80" i="2" a="1"/>
  <c r="T80" i="2" s="1"/>
  <c r="T81" i="2" a="1"/>
  <c r="T81" i="2" s="1"/>
  <c r="T82" i="2" a="1"/>
  <c r="T82" i="2" s="1"/>
  <c r="T83" i="2" a="1"/>
  <c r="T83" i="2" s="1"/>
  <c r="T84" i="2" a="1"/>
  <c r="T84" i="2" s="1"/>
  <c r="T85" i="2" a="1"/>
  <c r="T85" i="2" s="1"/>
  <c r="T86" i="2" a="1"/>
  <c r="T86" i="2" s="1"/>
  <c r="T87" i="2" a="1"/>
  <c r="T87" i="2" s="1"/>
  <c r="T88" i="2" a="1"/>
  <c r="T88" i="2" s="1"/>
  <c r="T89" i="2" a="1"/>
  <c r="T89" i="2" s="1"/>
  <c r="T90" i="2" a="1"/>
  <c r="T90" i="2" s="1"/>
  <c r="T91" i="2" a="1"/>
  <c r="T91" i="2" s="1"/>
  <c r="T92" i="2" a="1"/>
  <c r="T92" i="2" s="1"/>
  <c r="T93" i="2" a="1"/>
  <c r="T93" i="2" s="1"/>
  <c r="T94" i="2" a="1"/>
  <c r="T94" i="2" s="1"/>
  <c r="T95" i="2" a="1"/>
  <c r="T95" i="2" s="1"/>
  <c r="T96" i="2" a="1"/>
  <c r="T96" i="2" s="1"/>
  <c r="T97" i="2" a="1"/>
  <c r="T97" i="2" s="1"/>
  <c r="T98" i="2" a="1"/>
  <c r="T98" i="2" s="1"/>
  <c r="T99" i="2" a="1"/>
  <c r="T99" i="2" s="1"/>
  <c r="T100" i="2" a="1"/>
  <c r="T100" i="2" s="1"/>
  <c r="T101" i="2" a="1"/>
  <c r="T101" i="2" s="1"/>
  <c r="T102" i="2" a="1"/>
  <c r="T102" i="2" s="1"/>
  <c r="T103" i="2" a="1"/>
  <c r="T103" i="2" s="1"/>
  <c r="T104" i="2" a="1"/>
  <c r="T104" i="2" s="1"/>
  <c r="T105" i="2" a="1"/>
  <c r="T105" i="2" s="1"/>
  <c r="T106" i="2" a="1"/>
  <c r="T106" i="2" s="1"/>
  <c r="T107" i="2" a="1"/>
  <c r="T107" i="2" s="1"/>
  <c r="T108" i="2" a="1"/>
  <c r="T108" i="2" s="1"/>
  <c r="T109" i="2" a="1"/>
  <c r="T109" i="2" s="1"/>
  <c r="T110" i="2" a="1"/>
  <c r="T110" i="2" s="1"/>
  <c r="T111" i="2" a="1"/>
  <c r="T111" i="2" s="1"/>
  <c r="T112" i="2" a="1"/>
  <c r="T112" i="2" s="1"/>
  <c r="T113" i="2" a="1"/>
  <c r="T113" i="2" s="1"/>
  <c r="T114" i="2" a="1"/>
  <c r="T114" i="2" s="1"/>
  <c r="T115" i="2" a="1"/>
  <c r="T115" i="2" s="1"/>
  <c r="T116" i="2" a="1"/>
  <c r="T116" i="2" s="1"/>
  <c r="T117" i="2" a="1"/>
  <c r="T117" i="2" s="1"/>
  <c r="T118" i="2" a="1"/>
  <c r="T118" i="2" s="1"/>
  <c r="T119" i="2" a="1"/>
  <c r="T119" i="2" s="1"/>
  <c r="T120" i="2" a="1"/>
  <c r="T120" i="2" s="1"/>
  <c r="T121" i="2" a="1"/>
  <c r="T121" i="2" s="1"/>
  <c r="T122" i="2" a="1"/>
  <c r="T122" i="2" s="1"/>
  <c r="T123" i="2" a="1"/>
  <c r="T123" i="2" s="1"/>
  <c r="T124" i="2" a="1"/>
  <c r="T124" i="2" s="1"/>
  <c r="T125" i="2" a="1"/>
  <c r="T125" i="2" s="1"/>
  <c r="T126" i="2" a="1"/>
  <c r="T126" i="2" s="1"/>
  <c r="T127" i="2" a="1"/>
  <c r="T127" i="2" s="1"/>
  <c r="T128" i="2" a="1"/>
  <c r="T128" i="2" s="1"/>
  <c r="T129" i="2" a="1"/>
  <c r="T129" i="2" s="1"/>
  <c r="T130" i="2" a="1"/>
  <c r="T130" i="2" s="1"/>
  <c r="T131" i="2" a="1"/>
  <c r="T131" i="2" s="1"/>
  <c r="T132" i="2" a="1"/>
  <c r="T132" i="2" s="1"/>
  <c r="T133" i="2" a="1"/>
  <c r="T133" i="2" s="1"/>
  <c r="T134" i="2" a="1"/>
  <c r="T134" i="2" s="1"/>
  <c r="T135" i="2" a="1"/>
  <c r="T135" i="2" s="1"/>
  <c r="T136" i="2" a="1"/>
  <c r="T136" i="2" s="1"/>
  <c r="T137" i="2" a="1"/>
  <c r="T137" i="2" s="1"/>
  <c r="T138" i="2" a="1"/>
  <c r="T138" i="2" s="1"/>
  <c r="T139" i="2" a="1"/>
  <c r="T139" i="2" s="1"/>
  <c r="T140" i="2" a="1"/>
  <c r="T140" i="2" s="1"/>
  <c r="T141" i="2" a="1"/>
  <c r="T141" i="2" s="1"/>
  <c r="T142" i="2" a="1"/>
  <c r="T142" i="2" s="1"/>
  <c r="T143" i="2" a="1"/>
  <c r="T143" i="2" s="1"/>
  <c r="T144" i="2" a="1"/>
  <c r="T144" i="2" s="1"/>
  <c r="T145" i="2" a="1"/>
  <c r="T145" i="2" s="1"/>
  <c r="T146" i="2" a="1"/>
  <c r="T146" i="2" s="1"/>
  <c r="T147" i="2" a="1"/>
  <c r="T147" i="2" s="1"/>
  <c r="T148" i="2" a="1"/>
  <c r="T148" i="2" s="1"/>
  <c r="T149" i="2" a="1"/>
  <c r="T149" i="2" s="1"/>
  <c r="T150" i="2" a="1"/>
  <c r="T150" i="2" s="1"/>
  <c r="T151" i="2" a="1"/>
  <c r="T151" i="2" s="1"/>
  <c r="T152" i="2" a="1"/>
  <c r="T152" i="2" s="1"/>
  <c r="T153" i="2" a="1"/>
  <c r="T153" i="2" s="1"/>
  <c r="T154" i="2" a="1"/>
  <c r="T154" i="2" s="1"/>
  <c r="T155" i="2" a="1"/>
  <c r="T155" i="2" s="1"/>
  <c r="T156" i="2" a="1"/>
  <c r="T156" i="2" s="1"/>
  <c r="T157" i="2" a="1"/>
  <c r="T157" i="2" s="1"/>
  <c r="T158" i="2" a="1"/>
  <c r="T158" i="2" s="1"/>
  <c r="T159" i="2" a="1"/>
  <c r="T159" i="2" s="1"/>
  <c r="T160" i="2" a="1"/>
  <c r="T160" i="2" s="1"/>
  <c r="T161" i="2" a="1"/>
  <c r="T161" i="2" s="1"/>
  <c r="T162" i="2" a="1"/>
  <c r="T162" i="2" s="1"/>
  <c r="T163" i="2" a="1"/>
  <c r="T163" i="2" s="1"/>
  <c r="T164" i="2" a="1"/>
  <c r="T164" i="2" s="1"/>
  <c r="T165" i="2" a="1"/>
  <c r="T165" i="2" s="1"/>
  <c r="T166" i="2" a="1"/>
  <c r="T166" i="2" s="1"/>
  <c r="T167" i="2" a="1"/>
  <c r="T167" i="2" s="1"/>
  <c r="T168" i="2" a="1"/>
  <c r="T168" i="2" s="1"/>
  <c r="T169" i="2" a="1"/>
  <c r="T169" i="2" s="1"/>
  <c r="T170" i="2" a="1"/>
  <c r="T170" i="2" s="1"/>
  <c r="T171" i="2" a="1"/>
  <c r="T171" i="2" s="1"/>
  <c r="T172" i="2" a="1"/>
  <c r="T172" i="2" s="1"/>
  <c r="T173" i="2" a="1"/>
  <c r="T173" i="2" s="1"/>
  <c r="T174" i="2" a="1"/>
  <c r="T174" i="2" s="1"/>
  <c r="T175" i="2" a="1"/>
  <c r="T175" i="2" s="1"/>
  <c r="T176" i="2" a="1"/>
  <c r="T176" i="2" s="1"/>
  <c r="T177" i="2" a="1"/>
  <c r="T177" i="2" s="1"/>
  <c r="T178" i="2" a="1"/>
  <c r="T178" i="2" s="1"/>
  <c r="T179" i="2" a="1"/>
  <c r="T179" i="2" s="1"/>
  <c r="T180" i="2" a="1"/>
  <c r="T180" i="2" s="1"/>
  <c r="T181" i="2" a="1"/>
  <c r="T181" i="2" s="1"/>
  <c r="T182" i="2" a="1"/>
  <c r="T182" i="2" s="1"/>
  <c r="T183" i="2" a="1"/>
  <c r="T183" i="2" s="1"/>
  <c r="T184" i="2" a="1"/>
  <c r="T184" i="2" s="1"/>
  <c r="T185" i="2" a="1"/>
  <c r="T185" i="2" s="1"/>
  <c r="T186" i="2" a="1"/>
  <c r="T186" i="2" s="1"/>
  <c r="T187" i="2" a="1"/>
  <c r="T187" i="2" s="1"/>
  <c r="T188" i="2" a="1"/>
  <c r="T188" i="2" s="1"/>
  <c r="T189" i="2" a="1"/>
  <c r="T189" i="2" s="1"/>
  <c r="T190" i="2" a="1"/>
  <c r="T190" i="2" s="1"/>
  <c r="T191" i="2" a="1"/>
  <c r="T191" i="2" s="1"/>
  <c r="T192" i="2" a="1"/>
  <c r="T192" i="2" s="1"/>
  <c r="T193" i="2" a="1"/>
  <c r="T193" i="2" s="1"/>
  <c r="T194" i="2" a="1"/>
  <c r="T194" i="2" s="1"/>
  <c r="T195" i="2" a="1"/>
  <c r="T195" i="2" s="1"/>
  <c r="T196" i="2" a="1"/>
  <c r="T196" i="2" s="1"/>
  <c r="T197" i="2" a="1"/>
  <c r="T197" i="2" s="1"/>
  <c r="T198" i="2" a="1"/>
  <c r="T198" i="2" s="1"/>
  <c r="T199" i="2" a="1"/>
  <c r="T199" i="2" s="1"/>
  <c r="T200" i="2" a="1"/>
  <c r="T200" i="2" s="1"/>
  <c r="T201" i="2" a="1"/>
  <c r="T201" i="2" s="1"/>
  <c r="T202" i="2" a="1"/>
  <c r="T202" i="2" s="1"/>
  <c r="T203" i="2" a="1"/>
  <c r="T203" i="2" s="1"/>
  <c r="T204" i="2" a="1"/>
  <c r="T204" i="2" s="1"/>
  <c r="T205" i="2" a="1"/>
  <c r="T205" i="2" s="1"/>
  <c r="T206" i="2" a="1"/>
  <c r="T206" i="2" s="1"/>
  <c r="T207" i="2" a="1"/>
  <c r="T207" i="2" s="1"/>
  <c r="T208" i="2" a="1"/>
  <c r="T208" i="2" s="1"/>
  <c r="T209" i="2" a="1"/>
  <c r="T209" i="2" s="1"/>
  <c r="T210" i="2" a="1"/>
  <c r="T210" i="2" s="1"/>
  <c r="T211" i="2" a="1"/>
  <c r="T211" i="2" s="1"/>
  <c r="T212" i="2" a="1"/>
  <c r="T212" i="2" s="1"/>
  <c r="T213" i="2" a="1"/>
  <c r="T213" i="2" s="1"/>
  <c r="T214" i="2" a="1"/>
  <c r="T214" i="2" s="1"/>
  <c r="T215" i="2" a="1"/>
  <c r="T215" i="2" s="1"/>
  <c r="T216" i="2" a="1"/>
  <c r="T216" i="2" s="1"/>
  <c r="T217" i="2" a="1"/>
  <c r="T217" i="2" s="1"/>
  <c r="T218" i="2" a="1"/>
  <c r="T218" i="2" s="1"/>
  <c r="T219" i="2" a="1"/>
  <c r="T219" i="2" s="1"/>
  <c r="T220" i="2" a="1"/>
  <c r="T220" i="2" s="1"/>
  <c r="T221" i="2" a="1"/>
  <c r="T221" i="2" s="1"/>
  <c r="T222" i="2" a="1"/>
  <c r="T222" i="2" s="1"/>
  <c r="T223" i="2" a="1"/>
  <c r="T223" i="2" s="1"/>
  <c r="T224" i="2" a="1"/>
  <c r="T224" i="2" s="1"/>
  <c r="T225" i="2" a="1"/>
  <c r="T225" i="2" s="1"/>
  <c r="S3" i="2" a="1"/>
  <c r="S3" i="2" s="1"/>
  <c r="S4" i="2" a="1"/>
  <c r="S4" i="2" s="1"/>
  <c r="S5" i="2" a="1"/>
  <c r="S5" i="2" s="1"/>
  <c r="S6" i="2" a="1"/>
  <c r="S6" i="2" s="1"/>
  <c r="S7" i="2" a="1"/>
  <c r="S7" i="2" s="1"/>
  <c r="S8" i="2" a="1"/>
  <c r="S8" i="2" s="1"/>
  <c r="S9" i="2" a="1"/>
  <c r="S9" i="2" s="1"/>
  <c r="S10" i="2" a="1"/>
  <c r="S10" i="2" s="1"/>
  <c r="S11" i="2" a="1"/>
  <c r="S11" i="2" s="1"/>
  <c r="S12" i="2" a="1"/>
  <c r="S12" i="2" s="1"/>
  <c r="S13" i="2" a="1"/>
  <c r="S13" i="2" s="1"/>
  <c r="S14" i="2" a="1"/>
  <c r="S14" i="2" s="1"/>
  <c r="S15" i="2" a="1"/>
  <c r="S15" i="2" s="1"/>
  <c r="S16" i="2" a="1"/>
  <c r="S16" i="2" s="1"/>
  <c r="S17" i="2" a="1"/>
  <c r="S17" i="2" s="1"/>
  <c r="S18" i="2" a="1"/>
  <c r="S18" i="2" s="1"/>
  <c r="S19" i="2" a="1"/>
  <c r="S19" i="2" s="1"/>
  <c r="S20" i="2" a="1"/>
  <c r="S20" i="2" s="1"/>
  <c r="S21" i="2" a="1"/>
  <c r="S21" i="2" s="1"/>
  <c r="S22" i="2" a="1"/>
  <c r="S22" i="2" s="1"/>
  <c r="S23" i="2" a="1"/>
  <c r="S23" i="2" s="1"/>
  <c r="S24" i="2" a="1"/>
  <c r="S24" i="2" s="1"/>
  <c r="S25" i="2" a="1"/>
  <c r="S25" i="2" s="1"/>
  <c r="S26" i="2" a="1"/>
  <c r="S26" i="2" s="1"/>
  <c r="S27" i="2" a="1"/>
  <c r="S27" i="2" s="1"/>
  <c r="S28" i="2" a="1"/>
  <c r="S28" i="2" s="1"/>
  <c r="S29" i="2" a="1"/>
  <c r="S29" i="2" s="1"/>
  <c r="S30" i="2" a="1"/>
  <c r="S30" i="2" s="1"/>
  <c r="S31" i="2" a="1"/>
  <c r="S31" i="2" s="1"/>
  <c r="S32" i="2" a="1"/>
  <c r="S32" i="2" s="1"/>
  <c r="S33" i="2" a="1"/>
  <c r="S33" i="2" s="1"/>
  <c r="S34" i="2" a="1"/>
  <c r="S34" i="2" s="1"/>
  <c r="S35" i="2" a="1"/>
  <c r="S35" i="2" s="1"/>
  <c r="S36" i="2" a="1"/>
  <c r="S36" i="2" s="1"/>
  <c r="S37" i="2" a="1"/>
  <c r="S37" i="2" s="1"/>
  <c r="S38" i="2" a="1"/>
  <c r="S38" i="2" s="1"/>
  <c r="S39" i="2" a="1"/>
  <c r="S39" i="2" s="1"/>
  <c r="S40" i="2" a="1"/>
  <c r="S40" i="2" s="1"/>
  <c r="S41" i="2" a="1"/>
  <c r="S41" i="2" s="1"/>
  <c r="S42" i="2" a="1"/>
  <c r="S42" i="2" s="1"/>
  <c r="S43" i="2" a="1"/>
  <c r="S43" i="2" s="1"/>
  <c r="S44" i="2" a="1"/>
  <c r="S44" i="2" s="1"/>
  <c r="S45" i="2" a="1"/>
  <c r="S45" i="2" s="1"/>
  <c r="S46" i="2" a="1"/>
  <c r="S46" i="2" s="1"/>
  <c r="S47" i="2" a="1"/>
  <c r="S47" i="2" s="1"/>
  <c r="S48" i="2" a="1"/>
  <c r="S48" i="2" s="1"/>
  <c r="S49" i="2" a="1"/>
  <c r="S49" i="2" s="1"/>
  <c r="S50" i="2" a="1"/>
  <c r="S50" i="2" s="1"/>
  <c r="S51" i="2" a="1"/>
  <c r="S51" i="2" s="1"/>
  <c r="S52" i="2" a="1"/>
  <c r="S52" i="2" s="1"/>
  <c r="S53" i="2" a="1"/>
  <c r="S53" i="2" s="1"/>
  <c r="S54" i="2" a="1"/>
  <c r="S54" i="2" s="1"/>
  <c r="S55" i="2" a="1"/>
  <c r="S55" i="2" s="1"/>
  <c r="S56" i="2" a="1"/>
  <c r="S56" i="2" s="1"/>
  <c r="S57" i="2" a="1"/>
  <c r="S57" i="2" s="1"/>
  <c r="S58" i="2" a="1"/>
  <c r="S58" i="2" s="1"/>
  <c r="S59" i="2" a="1"/>
  <c r="S59" i="2" s="1"/>
  <c r="S60" i="2" a="1"/>
  <c r="S60" i="2" s="1"/>
  <c r="S61" i="2" a="1"/>
  <c r="S61" i="2" s="1"/>
  <c r="S62" i="2" a="1"/>
  <c r="S62" i="2" s="1"/>
  <c r="S63" i="2" a="1"/>
  <c r="S63" i="2" s="1"/>
  <c r="S64" i="2" a="1"/>
  <c r="S64" i="2" s="1"/>
  <c r="S65" i="2" a="1"/>
  <c r="S65" i="2" s="1"/>
  <c r="S66" i="2" a="1"/>
  <c r="S66" i="2" s="1"/>
  <c r="S67" i="2" a="1"/>
  <c r="S67" i="2" s="1"/>
  <c r="S68" i="2" a="1"/>
  <c r="S68" i="2" s="1"/>
  <c r="S69" i="2" a="1"/>
  <c r="S69" i="2" s="1"/>
  <c r="S70" i="2" a="1"/>
  <c r="S70" i="2" s="1"/>
  <c r="S71" i="2" a="1"/>
  <c r="S71" i="2" s="1"/>
  <c r="S72" i="2" a="1"/>
  <c r="S72" i="2" s="1"/>
  <c r="S73" i="2" a="1"/>
  <c r="S73" i="2" s="1"/>
  <c r="S74" i="2" a="1"/>
  <c r="S74" i="2" s="1"/>
  <c r="S75" i="2" a="1"/>
  <c r="S75" i="2" s="1"/>
  <c r="S76" i="2" a="1"/>
  <c r="S76" i="2" s="1"/>
  <c r="S77" i="2" a="1"/>
  <c r="S77" i="2" s="1"/>
  <c r="S78" i="2" a="1"/>
  <c r="S78" i="2" s="1"/>
  <c r="S79" i="2" a="1"/>
  <c r="S79" i="2" s="1"/>
  <c r="S80" i="2" a="1"/>
  <c r="S80" i="2" s="1"/>
  <c r="S81" i="2" a="1"/>
  <c r="S81" i="2" s="1"/>
  <c r="S82" i="2" a="1"/>
  <c r="S82" i="2" s="1"/>
  <c r="S83" i="2" a="1"/>
  <c r="S83" i="2" s="1"/>
  <c r="S84" i="2" a="1"/>
  <c r="S84" i="2" s="1"/>
  <c r="S85" i="2" a="1"/>
  <c r="S85" i="2" s="1"/>
  <c r="S86" i="2" a="1"/>
  <c r="S86" i="2" s="1"/>
  <c r="S87" i="2" a="1"/>
  <c r="S87" i="2" s="1"/>
  <c r="S88" i="2" a="1"/>
  <c r="S88" i="2" s="1"/>
  <c r="S89" i="2" a="1"/>
  <c r="S89" i="2" s="1"/>
  <c r="S90" i="2" a="1"/>
  <c r="S90" i="2" s="1"/>
  <c r="S91" i="2" a="1"/>
  <c r="S91" i="2" s="1"/>
  <c r="S92" i="2" a="1"/>
  <c r="S92" i="2" s="1"/>
  <c r="S93" i="2" a="1"/>
  <c r="S93" i="2" s="1"/>
  <c r="S94" i="2" a="1"/>
  <c r="S94" i="2" s="1"/>
  <c r="S95" i="2" a="1"/>
  <c r="S95" i="2" s="1"/>
  <c r="S96" i="2" a="1"/>
  <c r="S96" i="2" s="1"/>
  <c r="S97" i="2" a="1"/>
  <c r="S97" i="2" s="1"/>
  <c r="S98" i="2" a="1"/>
  <c r="S98" i="2" s="1"/>
  <c r="S99" i="2" a="1"/>
  <c r="S99" i="2" s="1"/>
  <c r="S100" i="2" a="1"/>
  <c r="S100" i="2" s="1"/>
  <c r="S101" i="2" a="1"/>
  <c r="S101" i="2" s="1"/>
  <c r="S102" i="2" a="1"/>
  <c r="S102" i="2" s="1"/>
  <c r="S103" i="2" a="1"/>
  <c r="S103" i="2" s="1"/>
  <c r="S104" i="2" a="1"/>
  <c r="S104" i="2" s="1"/>
  <c r="S105" i="2" a="1"/>
  <c r="S105" i="2" s="1"/>
  <c r="S106" i="2" a="1"/>
  <c r="S106" i="2" s="1"/>
  <c r="S107" i="2" a="1"/>
  <c r="S107" i="2" s="1"/>
  <c r="S108" i="2" a="1"/>
  <c r="S108" i="2" s="1"/>
  <c r="S109" i="2" a="1"/>
  <c r="S109" i="2" s="1"/>
  <c r="S110" i="2" a="1"/>
  <c r="S110" i="2" s="1"/>
  <c r="S111" i="2" a="1"/>
  <c r="S111" i="2" s="1"/>
  <c r="S112" i="2" a="1"/>
  <c r="S112" i="2" s="1"/>
  <c r="S113" i="2" a="1"/>
  <c r="S113" i="2" s="1"/>
  <c r="S114" i="2" a="1"/>
  <c r="S114" i="2" s="1"/>
  <c r="S115" i="2" a="1"/>
  <c r="S115" i="2" s="1"/>
  <c r="S116" i="2" a="1"/>
  <c r="S116" i="2" s="1"/>
  <c r="S117" i="2" a="1"/>
  <c r="S117" i="2" s="1"/>
  <c r="S118" i="2" a="1"/>
  <c r="S118" i="2" s="1"/>
  <c r="S119" i="2" a="1"/>
  <c r="S119" i="2" s="1"/>
  <c r="S120" i="2" a="1"/>
  <c r="S120" i="2" s="1"/>
  <c r="S121" i="2" a="1"/>
  <c r="S121" i="2" s="1"/>
  <c r="S122" i="2" a="1"/>
  <c r="S122" i="2" s="1"/>
  <c r="S123" i="2" a="1"/>
  <c r="S123" i="2" s="1"/>
  <c r="S124" i="2" a="1"/>
  <c r="S124" i="2" s="1"/>
  <c r="S125" i="2" a="1"/>
  <c r="S125" i="2" s="1"/>
  <c r="S126" i="2" a="1"/>
  <c r="S126" i="2" s="1"/>
  <c r="S127" i="2" a="1"/>
  <c r="S127" i="2" s="1"/>
  <c r="S128" i="2" a="1"/>
  <c r="S128" i="2" s="1"/>
  <c r="S129" i="2" a="1"/>
  <c r="S129" i="2" s="1"/>
  <c r="S130" i="2" a="1"/>
  <c r="S130" i="2" s="1"/>
  <c r="S131" i="2" a="1"/>
  <c r="S131" i="2" s="1"/>
  <c r="S132" i="2" a="1"/>
  <c r="S132" i="2" s="1"/>
  <c r="S133" i="2" a="1"/>
  <c r="S133" i="2" s="1"/>
  <c r="S134" i="2" a="1"/>
  <c r="S134" i="2" s="1"/>
  <c r="S135" i="2" a="1"/>
  <c r="S135" i="2" s="1"/>
  <c r="S136" i="2" a="1"/>
  <c r="S136" i="2" s="1"/>
  <c r="S137" i="2" a="1"/>
  <c r="S137" i="2" s="1"/>
  <c r="S138" i="2" a="1"/>
  <c r="S138" i="2" s="1"/>
  <c r="S139" i="2" a="1"/>
  <c r="S139" i="2" s="1"/>
  <c r="S140" i="2" a="1"/>
  <c r="S140" i="2" s="1"/>
  <c r="S141" i="2" a="1"/>
  <c r="S141" i="2" s="1"/>
  <c r="S142" i="2" a="1"/>
  <c r="S142" i="2" s="1"/>
  <c r="S143" i="2" a="1"/>
  <c r="S143" i="2" s="1"/>
  <c r="S144" i="2" a="1"/>
  <c r="S144" i="2" s="1"/>
  <c r="S145" i="2" a="1"/>
  <c r="S145" i="2" s="1"/>
  <c r="S146" i="2" a="1"/>
  <c r="S146" i="2" s="1"/>
  <c r="S147" i="2" a="1"/>
  <c r="S147" i="2" s="1"/>
  <c r="S148" i="2" a="1"/>
  <c r="S148" i="2" s="1"/>
  <c r="S149" i="2" a="1"/>
  <c r="S149" i="2" s="1"/>
  <c r="S150" i="2" a="1"/>
  <c r="S150" i="2" s="1"/>
  <c r="S151" i="2" a="1"/>
  <c r="S151" i="2" s="1"/>
  <c r="S152" i="2" a="1"/>
  <c r="S152" i="2" s="1"/>
  <c r="S153" i="2" a="1"/>
  <c r="S153" i="2" s="1"/>
  <c r="S154" i="2" a="1"/>
  <c r="S154" i="2" s="1"/>
  <c r="S155" i="2" a="1"/>
  <c r="S155" i="2" s="1"/>
  <c r="S156" i="2" a="1"/>
  <c r="S156" i="2" s="1"/>
  <c r="S157" i="2" a="1"/>
  <c r="S157" i="2" s="1"/>
  <c r="S158" i="2" a="1"/>
  <c r="S158" i="2" s="1"/>
  <c r="S159" i="2" a="1"/>
  <c r="S159" i="2" s="1"/>
  <c r="S160" i="2" a="1"/>
  <c r="S160" i="2" s="1"/>
  <c r="S161" i="2" a="1"/>
  <c r="S161" i="2" s="1"/>
  <c r="S162" i="2" a="1"/>
  <c r="S162" i="2" s="1"/>
  <c r="S163" i="2" a="1"/>
  <c r="S163" i="2" s="1"/>
  <c r="S164" i="2" a="1"/>
  <c r="S164" i="2" s="1"/>
  <c r="S165" i="2" a="1"/>
  <c r="S165" i="2" s="1"/>
  <c r="S166" i="2" a="1"/>
  <c r="S166" i="2" s="1"/>
  <c r="S167" i="2" a="1"/>
  <c r="S167" i="2" s="1"/>
  <c r="S168" i="2" a="1"/>
  <c r="S168" i="2" s="1"/>
  <c r="S169" i="2" a="1"/>
  <c r="S169" i="2" s="1"/>
  <c r="S170" i="2" a="1"/>
  <c r="S170" i="2" s="1"/>
  <c r="S171" i="2" a="1"/>
  <c r="S171" i="2" s="1"/>
  <c r="S172" i="2" a="1"/>
  <c r="S172" i="2" s="1"/>
  <c r="S173" i="2" a="1"/>
  <c r="S173" i="2" s="1"/>
  <c r="S174" i="2" a="1"/>
  <c r="S174" i="2" s="1"/>
  <c r="S175" i="2" a="1"/>
  <c r="S175" i="2" s="1"/>
  <c r="S176" i="2" a="1"/>
  <c r="S176" i="2" s="1"/>
  <c r="S177" i="2" a="1"/>
  <c r="S177" i="2" s="1"/>
  <c r="S178" i="2" a="1"/>
  <c r="S178" i="2" s="1"/>
  <c r="S179" i="2" a="1"/>
  <c r="S179" i="2" s="1"/>
  <c r="S180" i="2" a="1"/>
  <c r="S180" i="2" s="1"/>
  <c r="S181" i="2" a="1"/>
  <c r="S181" i="2" s="1"/>
  <c r="S182" i="2" a="1"/>
  <c r="S182" i="2" s="1"/>
  <c r="S183" i="2" a="1"/>
  <c r="S183" i="2" s="1"/>
  <c r="S184" i="2" a="1"/>
  <c r="S184" i="2" s="1"/>
  <c r="S185" i="2" a="1"/>
  <c r="S185" i="2" s="1"/>
  <c r="S186" i="2" a="1"/>
  <c r="S186" i="2" s="1"/>
  <c r="S187" i="2" a="1"/>
  <c r="S187" i="2" s="1"/>
  <c r="S188" i="2" a="1"/>
  <c r="S188" i="2" s="1"/>
  <c r="S189" i="2" a="1"/>
  <c r="S189" i="2" s="1"/>
  <c r="S190" i="2" a="1"/>
  <c r="S190" i="2" s="1"/>
  <c r="S191" i="2" a="1"/>
  <c r="S191" i="2" s="1"/>
  <c r="S192" i="2" a="1"/>
  <c r="S192" i="2" s="1"/>
  <c r="S193" i="2" a="1"/>
  <c r="S193" i="2" s="1"/>
  <c r="S194" i="2" a="1"/>
  <c r="S194" i="2" s="1"/>
  <c r="S195" i="2" a="1"/>
  <c r="S195" i="2" s="1"/>
  <c r="S196" i="2" a="1"/>
  <c r="S196" i="2" s="1"/>
  <c r="S197" i="2" a="1"/>
  <c r="S197" i="2" s="1"/>
  <c r="S198" i="2" a="1"/>
  <c r="S198" i="2" s="1"/>
  <c r="S199" i="2" a="1"/>
  <c r="S199" i="2" s="1"/>
  <c r="S200" i="2" a="1"/>
  <c r="S200" i="2" s="1"/>
  <c r="S201" i="2" a="1"/>
  <c r="S201" i="2" s="1"/>
  <c r="S202" i="2" a="1"/>
  <c r="S202" i="2" s="1"/>
  <c r="S203" i="2" a="1"/>
  <c r="S203" i="2" s="1"/>
  <c r="S204" i="2" a="1"/>
  <c r="S204" i="2" s="1"/>
  <c r="S205" i="2" a="1"/>
  <c r="S205" i="2" s="1"/>
  <c r="S206" i="2" a="1"/>
  <c r="S206" i="2" s="1"/>
  <c r="S207" i="2" a="1"/>
  <c r="S207" i="2" s="1"/>
  <c r="S208" i="2" a="1"/>
  <c r="S208" i="2" s="1"/>
  <c r="S209" i="2" a="1"/>
  <c r="S209" i="2" s="1"/>
  <c r="S210" i="2" a="1"/>
  <c r="S210" i="2" s="1"/>
  <c r="S211" i="2" a="1"/>
  <c r="S211" i="2" s="1"/>
  <c r="S212" i="2" a="1"/>
  <c r="S212" i="2" s="1"/>
  <c r="S213" i="2" a="1"/>
  <c r="S213" i="2" s="1"/>
  <c r="S214" i="2" a="1"/>
  <c r="S214" i="2" s="1"/>
  <c r="S215" i="2" a="1"/>
  <c r="S215" i="2" s="1"/>
  <c r="S216" i="2" a="1"/>
  <c r="S216" i="2" s="1"/>
  <c r="S217" i="2" a="1"/>
  <c r="S217" i="2" s="1"/>
  <c r="S218" i="2" a="1"/>
  <c r="S218" i="2" s="1"/>
  <c r="S219" i="2" a="1"/>
  <c r="S219" i="2" s="1"/>
  <c r="S220" i="2" a="1"/>
  <c r="S220" i="2" s="1"/>
  <c r="S221" i="2" a="1"/>
  <c r="S221" i="2" s="1"/>
  <c r="S222" i="2" a="1"/>
  <c r="S222" i="2" s="1"/>
  <c r="S223" i="2" a="1"/>
  <c r="S223" i="2" s="1"/>
  <c r="S224" i="2" a="1"/>
  <c r="S224" i="2" s="1"/>
  <c r="S225" i="2" a="1"/>
  <c r="S225" i="2" s="1"/>
  <c r="S2" i="2" a="1"/>
  <c r="S2" i="2" s="1"/>
  <c r="D3" i="3"/>
  <c r="D4" i="3"/>
  <c r="D5" i="3"/>
  <c r="D2" i="3"/>
  <c r="R14" i="12"/>
  <c r="R15" i="12" s="1"/>
  <c r="R16" i="12" s="1"/>
  <c r="R17" i="12" s="1"/>
  <c r="R18" i="12" s="1"/>
  <c r="R19" i="12" s="1"/>
  <c r="R20" i="12" s="1"/>
  <c r="R21" i="12" s="1"/>
  <c r="R22" i="12" s="1"/>
  <c r="R23" i="12" s="1"/>
  <c r="R24" i="12" s="1"/>
  <c r="R25" i="12" s="1"/>
  <c r="R26" i="12" s="1"/>
  <c r="R27" i="12" s="1"/>
  <c r="R28" i="12" s="1"/>
  <c r="R29" i="12" s="1"/>
  <c r="R30" i="12" s="1"/>
  <c r="R31" i="12" s="1"/>
  <c r="R32" i="12"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<sst xmlns="http://schemas.openxmlformats.org/spreadsheetml/2006/main" count="5165" uniqueCount="198">
  <si>
    <t>Year</t>
  </si>
  <si>
    <t>Decade</t>
  </si>
  <si>
    <t>Support_Structure_Name</t>
  </si>
  <si>
    <t>Frequency</t>
  </si>
  <si>
    <t>Instrument_Code</t>
  </si>
  <si>
    <t>Instrument_Description</t>
  </si>
  <si>
    <t>Fossil_Fuel_Type</t>
  </si>
  <si>
    <t>Support_Type</t>
  </si>
  <si>
    <t>Observation_Value</t>
  </si>
  <si>
    <t>Observation_Value_Numeric</t>
  </si>
  <si>
    <t>Monetary_Impact</t>
  </si>
  <si>
    <t>YoY_Change</t>
  </si>
  <si>
    <t>Is_Recurring</t>
  </si>
  <si>
    <t>Support_Duration_Years</t>
  </si>
  <si>
    <t>Average_Annual_Support</t>
  </si>
  <si>
    <t>Trend</t>
  </si>
  <si>
    <t>Observation_Status</t>
  </si>
  <si>
    <t>Fossil Fuel Support - TÃ¼rkiye</t>
  </si>
  <si>
    <t>Annual</t>
  </si>
  <si>
    <t>TUR_TE_17</t>
  </si>
  <si>
    <t>Value Added Tax Exemption for Imported and/or Locally Provided Investment Machinery within the Scope of Incentive Certificates</t>
  </si>
  <si>
    <t>General Fossil Fuel Support</t>
  </si>
  <si>
    <t>Tax Relief</t>
  </si>
  <si>
    <t>Medium Impact</t>
  </si>
  <si>
    <t>Increasing</t>
  </si>
  <si>
    <t>A</t>
  </si>
  <si>
    <t>High Impact</t>
  </si>
  <si>
    <t>3655.2561548177337</t>
  </si>
  <si>
    <t>TUR_DT_03</t>
  </si>
  <si>
    <t>Support for Domestic Oil, Natural Gas and Coal Exploration</t>
  </si>
  <si>
    <t>Oil</t>
  </si>
  <si>
    <t>Other Support Type</t>
  </si>
  <si>
    <t>Low Impact</t>
  </si>
  <si>
    <t>64491.166666666664</t>
  </si>
  <si>
    <t>TUR_TE_21</t>
  </si>
  <si>
    <t>R&amp;D Tax credits in Law No:5746 Article 3/A</t>
  </si>
  <si>
    <t>Decreasing</t>
  </si>
  <si>
    <t>7.461627797482651</t>
  </si>
  <si>
    <t>TUR_TE_08</t>
  </si>
  <si>
    <t>Fuel Tax Exemption for Vehicles Used for National Security</t>
  </si>
  <si>
    <t>Fuel</t>
  </si>
  <si>
    <t>Stable</t>
  </si>
  <si>
    <t>TUR_TE_18</t>
  </si>
  <si>
    <t>Value Added Tax refund for building and construction expenses for the investments to be realized within the scope of investment incentive certificate</t>
  </si>
  <si>
    <t>TUR_TE_02</t>
  </si>
  <si>
    <t>Fuel Tax Exemption for Ships in Cabotage Lines</t>
  </si>
  <si>
    <t>4.712984537174325</t>
  </si>
  <si>
    <t>TUR_TE_12</t>
  </si>
  <si>
    <t>Fuel Tax Exemption for Naphta, Petroleum Coke and Petroleum Bitumen</t>
  </si>
  <si>
    <t>25.099420526308357</t>
  </si>
  <si>
    <t>8.506805650101068</t>
  </si>
  <si>
    <t>TUR_TE_09</t>
  </si>
  <si>
    <t>Fuel Tax Exemption for Fuel Oil and Diesel Used for Electricity Generation</t>
  </si>
  <si>
    <t>4.717887154861944</t>
  </si>
  <si>
    <t>453.7434461476921</t>
  </si>
  <si>
    <t>36211.12440074117</t>
  </si>
  <si>
    <t>TUR_DT_07</t>
  </si>
  <si>
    <t>Personal Income Tax exemption for underground workers</t>
  </si>
  <si>
    <t>36.09859721860249</t>
  </si>
  <si>
    <t>TUR_DT_02</t>
  </si>
  <si>
    <t>Coal Aid to Poor Families (source: Treasury)</t>
  </si>
  <si>
    <t>Coal</t>
  </si>
  <si>
    <t>72.65475759989653</t>
  </si>
  <si>
    <t>29.98534636314696</t>
  </si>
  <si>
    <t>27843.66487448081</t>
  </si>
  <si>
    <t>TUR_TE_04</t>
  </si>
  <si>
    <t>Tax Exemption for Oil and Gas Exploration and Transportation</t>
  </si>
  <si>
    <t>TUR_DT_05</t>
  </si>
  <si>
    <t>Construction of Coal Thermal Plants</t>
  </si>
  <si>
    <t>TUR_TE_06</t>
  </si>
  <si>
    <t>Tax Exemption for LPG Consumption</t>
  </si>
  <si>
    <t>TUR_TE_15</t>
  </si>
  <si>
    <t>Corporate Income Tax Rate Reduction</t>
  </si>
  <si>
    <t>790.1973554307261</t>
  </si>
  <si>
    <t>3332.4200389774164</t>
  </si>
  <si>
    <t>4.714605390601512</t>
  </si>
  <si>
    <t>283.98118965430984</t>
  </si>
  <si>
    <t>210.72850347285558</t>
  </si>
  <si>
    <t>TUR_DT_01</t>
  </si>
  <si>
    <t>Aid to the Hard Coal Industry</t>
  </si>
  <si>
    <t>30.900534247819024</t>
  </si>
  <si>
    <t>4.705035971223026</t>
  </si>
  <si>
    <t>TUR_TE_19</t>
  </si>
  <si>
    <t>R&amp;D Tax credits in Law No:5746 Article 3/1</t>
  </si>
  <si>
    <t>37418.63972126922</t>
  </si>
  <si>
    <t>TUR_TE_11</t>
  </si>
  <si>
    <t>Fuel Tax Exemption for LPG Used in Ethylene Production</t>
  </si>
  <si>
    <t>TUR_DT_08</t>
  </si>
  <si>
    <t>Strategic communication for increasing mining, domestic coal and  nuclear activities</t>
  </si>
  <si>
    <t>4.825980209548009</t>
  </si>
  <si>
    <t>4.892561983471078</t>
  </si>
  <si>
    <t>TUR_TE_14</t>
  </si>
  <si>
    <t>Fuel Tax Exemption for LPG Used in Aerosol Production</t>
  </si>
  <si>
    <t>69.74977026931506</t>
  </si>
  <si>
    <t>15.70730707716914</t>
  </si>
  <si>
    <t>4.078640288801294</t>
  </si>
  <si>
    <t>TUR_TE_05</t>
  </si>
  <si>
    <t>Tax Exemption for the Transportation and Distribution of Oil and Gas</t>
  </si>
  <si>
    <t>TUR_TE_20</t>
  </si>
  <si>
    <t>Personel Income Withholding Tax Support for R&amp;D personnel</t>
  </si>
  <si>
    <t>86.46434407657131</t>
  </si>
  <si>
    <t>TUR_TE_07</t>
  </si>
  <si>
    <t>Fuel Tax Exemption for Domestic Commercial Aviation</t>
  </si>
  <si>
    <t>17.171401145107712</t>
  </si>
  <si>
    <t>3103.4267623760356</t>
  </si>
  <si>
    <t>TUR_DT_09</t>
  </si>
  <si>
    <t>Capacity mechanism payments for Natural Gas</t>
  </si>
  <si>
    <t>Natural Gas</t>
  </si>
  <si>
    <t>23.21688238967652</t>
  </si>
  <si>
    <t>24552.837882575088</t>
  </si>
  <si>
    <t>10.654406160627516</t>
  </si>
  <si>
    <t>32.990353697749185</t>
  </si>
  <si>
    <t>4.722759509993546</t>
  </si>
  <si>
    <t>7.388025242419571</t>
  </si>
  <si>
    <t>TUR_TE_16</t>
  </si>
  <si>
    <t>Personal Income Withholding Tax Support for Investments with Incentive Certificates</t>
  </si>
  <si>
    <t>22.813399051534255</t>
  </si>
  <si>
    <t>TUR_TE_13</t>
  </si>
  <si>
    <t>Fuel Tax Exemption for Diesel Blended with Domestically Sourced Biodiesel</t>
  </si>
  <si>
    <t>69.75078716419911</t>
  </si>
  <si>
    <t>3355.8972545779106</t>
  </si>
  <si>
    <t>15.506085424408656</t>
  </si>
  <si>
    <t>TUR_TE_10</t>
  </si>
  <si>
    <t>Fuel Tax Exemption for Diesel Used by Export Vehicles</t>
  </si>
  <si>
    <t>69.75040805620938</t>
  </si>
  <si>
    <t>114.78005465381887</t>
  </si>
  <si>
    <t>14.395440315280705</t>
  </si>
  <si>
    <t>76.06085747363491</t>
  </si>
  <si>
    <t>25.099420599765843</t>
  </si>
  <si>
    <t>2.542899917658503</t>
  </si>
  <si>
    <t>25.43724932851321</t>
  </si>
  <si>
    <t>11665.154568767533</t>
  </si>
  <si>
    <t>86.46431844609097</t>
  </si>
  <si>
    <t>360780.25128205126</t>
  </si>
  <si>
    <t>12717.866076179542</t>
  </si>
  <si>
    <t>110.76393865558262</t>
  </si>
  <si>
    <t>10.515817735113098</t>
  </si>
  <si>
    <t>25.09942059359942</t>
  </si>
  <si>
    <t>78.80857433387412</t>
  </si>
  <si>
    <t>20.85596707818931</t>
  </si>
  <si>
    <t>133.77058605985633</t>
  </si>
  <si>
    <t>406.0084998485154</t>
  </si>
  <si>
    <t>3916.4218958611486</t>
  </si>
  <si>
    <t>23.60728774268328</t>
  </si>
  <si>
    <t>39.29229853140903</t>
  </si>
  <si>
    <t>984.0517241379309</t>
  </si>
  <si>
    <t>98.14041753687121</t>
  </si>
  <si>
    <t>241.0188043260658</t>
  </si>
  <si>
    <t>68.77923303224517</t>
  </si>
  <si>
    <t>858.8977725511118</t>
  </si>
  <si>
    <t>278.6983333333333</t>
  </si>
  <si>
    <t>31152.911266816864</t>
  </si>
  <si>
    <t>14.285732479371571</t>
  </si>
  <si>
    <t>481.4732517792177</t>
  </si>
  <si>
    <t>4698.182633178781</t>
  </si>
  <si>
    <t>983.3215020700221</t>
  </si>
  <si>
    <t>983.2713095870992</t>
  </si>
  <si>
    <t>18.869930802074308</t>
  </si>
  <si>
    <t>4.714851921171426</t>
  </si>
  <si>
    <t>65.99130606572776</t>
  </si>
  <si>
    <t>4.399385626983987</t>
  </si>
  <si>
    <t>Nominal TRY</t>
  </si>
  <si>
    <t>Real 2023 TRY</t>
  </si>
  <si>
    <t>USD Equivalent</t>
  </si>
  <si>
    <t>CPI Multiplier</t>
  </si>
  <si>
    <t>Inflation Rate</t>
  </si>
  <si>
    <t>Base year</t>
  </si>
  <si>
    <t>Deflator to 2023</t>
  </si>
  <si>
    <t>Average USD/TRY Exchange Rate</t>
  </si>
  <si>
    <t>Rate</t>
  </si>
  <si>
    <t>Norminal TRY</t>
  </si>
  <si>
    <t>YoY% Change</t>
  </si>
  <si>
    <t>Row Labels</t>
  </si>
  <si>
    <t>(blank)</t>
  </si>
  <si>
    <t>Grand Total</t>
  </si>
  <si>
    <t>Sum of Observation_Value_Numeric</t>
  </si>
  <si>
    <t>Sum of Norminal TRY</t>
  </si>
  <si>
    <t>Sum of Real 2023 TRY</t>
  </si>
  <si>
    <t>Trend over Time (Nominal vs Real)</t>
  </si>
  <si>
    <t>This visually prove the heading finding that nominal support went up,</t>
  </si>
  <si>
    <t>but real support went down.</t>
  </si>
  <si>
    <t>Chart by Fuel Type</t>
  </si>
  <si>
    <t>Chart by fuel type tells us a very specific and important story about</t>
  </si>
  <si>
    <t xml:space="preserve">where the government money is actually going. This shows that fuel </t>
  </si>
  <si>
    <t>dominate the spending. Fuel receives the vast majority of the financial</t>
  </si>
  <si>
    <t>support compared to coal,oil and Natural gas.</t>
  </si>
  <si>
    <t>Support Type Spilt</t>
  </si>
  <si>
    <t>Sum of Real 2023 TRY2</t>
  </si>
  <si>
    <t>Sum of Real 2023 TRY3</t>
  </si>
  <si>
    <t>Column Labels</t>
  </si>
  <si>
    <t xml:space="preserve">This chart tells us about the mechanism the </t>
  </si>
  <si>
    <t xml:space="preserve">government uses to fund these subsidies. </t>
  </si>
  <si>
    <t xml:space="preserve">Specifically, it compares Tax Relief(indirect </t>
  </si>
  <si>
    <t xml:space="preserve">support) versus Direct Transfers(cash/budget </t>
  </si>
  <si>
    <t>line items)</t>
  </si>
  <si>
    <t>Support type split for norminal</t>
  </si>
  <si>
    <t>Count of Norminal TRY</t>
  </si>
  <si>
    <t>Cumulative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</si>
</sst>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TRY]\ * #,##0.00_);_([$TRY]\ * \(#,##0.00\);_([$TRY]\ * &quot;-&quot;??_);_(@_)"/>
    <numFmt numFmtId="165" formatCode="_([$USD]\ * #,##0.00_);_([$USD]\ * \(#,##0.00\);_([$USD]\ * &quot;-&quot;??_);_(@_)"/>
    <numFmt numFmtId="166" formatCode="\₺#,##0.0,,,&quot;B&quot;"/>
    <numFmt numFmtId="167" formatCode="\₺#,##0,,,&quot;B&quot;"/>
    <numFmt numFmtId="168" formatCode="&quot;₺&quot;#,##0.0,,,&quot;B&quot;"/>
  </numFmts>
  <fonts count="23">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1"/>
      <color theme="1"/>
      <name val="Arial"/>
      <family val="2"/>
    </font>
    <font>
      <b/>
      <sz val="11"/>
      <color theme="1"/>
      <name val="Arial"/>
      <family val="2"/>
    </font>
    <font>
      <sz val="8"/>
      <name val="Calibri"/>
      <family val="2"/>
    </font>
    <font>
      <sz val="11"/>
      <color rgb="FF002060"/>
      <name val="Calibri"/>
      <family val="2"/>
    </font>
    <font>
      <b/>
      <sz val="11"/>
      <color rgb="FF00206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8">
    <xf numFmtId="0" fontId="0" fillId="0" borderId="0" xfId="0"/>
    <xf numFmtId="3" fontId="0" fillId="0" borderId="0" xfId="0" applyNumberFormat="1"/>
    <xf numFmtId="0" fontId="0" fillId="0" borderId="0" xfId="0" quotePrefix="1"/>
    <xf numFmtId="0" fontId="0" fillId="0" borderId="0" xfId="0" applyAlignment="1">
      <alignment wrapText="1"/>
    </xf>
    <xf numFmtId="0" fontId="18" fillId="0" borderId="10" xfId="0" applyFont="1" applyBorder="1" applyAlignment="1">
      <alignment vertical="center"/>
    </xf>
    <xf numFmtId="0" fontId="19" fillId="0" borderId="11" xfId="0" applyFont="1" applyBorder="1" applyAlignment="1">
      <alignment vertical="center"/>
    </xf>
    <xf numFmtId="0" fontId="19" fillId="0" borderId="14" xfId="0" applyFont="1" applyBorder="1" applyAlignment="1">
      <alignment vertical="center"/>
    </xf>
    <xf numFmtId="0" fontId="19" fillId="0" borderId="15" xfId="0" applyFont="1" applyBorder="1" applyAlignment="1">
      <alignment vertical="center"/>
    </xf>
    <xf numFmtId="0" fontId="19" fillId="0" borderId="16" xfId="0" applyFont="1" applyBorder="1" applyAlignment="1">
      <alignment vertical="center"/>
    </xf>
    <xf numFmtId="0" fontId="18" fillId="0" borderId="17" xfId="0" applyFont="1" applyBorder="1" applyAlignment="1">
      <alignment vertical="center"/>
    </xf>
    <xf numFmtId="0" fontId="18" fillId="0" borderId="13" xfId="0" applyFont="1" applyBorder="1" applyAlignment="1">
      <alignment vertical="center"/>
    </xf>
    <xf numFmtId="2" fontId="0" fillId="0" borderId="18" xfId="0" applyNumberFormat="1" applyBorder="1"/>
    <xf numFmtId="9" fontId="18" fillId="0" borderId="13" xfId="0" applyNumberFormat="1" applyFont="1" applyBorder="1" applyAlignment="1">
      <alignment vertical="center"/>
    </xf>
    <xf numFmtId="0" fontId="18" fillId="0" borderId="19" xfId="0" applyFont="1" applyBorder="1" applyAlignment="1">
      <alignment vertical="center"/>
    </xf>
    <xf numFmtId="9" fontId="18" fillId="0" borderId="20" xfId="0" applyNumberFormat="1" applyFont="1" applyBorder="1" applyAlignment="1">
      <alignment vertical="center"/>
    </xf>
    <xf numFmtId="0" fontId="18" fillId="0" borderId="20" xfId="0" applyFont="1" applyBorder="1" applyAlignment="1">
      <alignment vertical="center"/>
    </xf>
    <xf numFmtId="2" fontId="0" fillId="0" borderId="21" xfId="0" applyNumberFormat="1" applyBorder="1"/>
    <xf numFmtId="0" fontId="18" fillId="0" borderId="22" xfId="0" applyFont="1" applyBorder="1" applyAlignment="1">
      <alignment vertical="center"/>
    </xf>
    <xf numFmtId="0" fontId="19" fillId="0" borderId="23" xfId="0" applyFont="1" applyBorder="1" applyAlignment="1">
      <alignment vertical="center" wrapText="1"/>
    </xf>
    <xf numFmtId="0" fontId="18" fillId="0" borderId="24" xfId="0" applyFont="1" applyBorder="1" applyAlignment="1">
      <alignment vertical="center"/>
    </xf>
    <xf numFmtId="0" fontId="18" fillId="0" borderId="12" xfId="0" applyFont="1" applyBorder="1" applyAlignment="1">
      <alignment vertical="center"/>
    </xf>
    <xf numFmtId="0" fontId="0" fillId="0" borderId="0" xfId="0" applyAlignment="1"/>
    <xf numFmtId="3" fontId="0" fillId="0" borderId="0" xfId="0" applyNumberFormat="1" applyAlignment="1"/>
    <xf numFmtId="164" fontId="0" fillId="0" borderId="0" xfId="0" applyNumberFormat="1" applyAlignment="1"/>
    <xf numFmtId="165" fontId="0" fillId="0" borderId="0" xfId="0" applyNumberFormat="1" applyAlignment="1"/>
    <xf numFmtId="0" fontId="0" fillId="0" borderId="0" xfId="0" quotePrefix="1" applyAlignment="1"/>
    <xf numFmtId="0" fontId="0" fillId="0" borderId="0" xfId="0" quotePrefix="1" applyNumberFormat="1" applyAlignment="1"/>
    <xf numFmtId="2" fontId="0" fillId="0" borderId="0" xfId="0" applyNumberFormat="1" applyAlignment="1"/>
    <xf numFmtId="2" fontId="0" fillId="0" borderId="0" xfId="0" quotePrefix="1" applyNumberFormat="1" applyAlignmen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NumberFormat="1"/>
    <xf numFmtId="0" fontId="21" fillId="0" borderId="0" xfId="0" applyFont="1"/>
    <xf numFmtId="166" fontId="0" fillId="0" borderId="0" xfId="0" applyNumberFormat="1"/>
    <xf numFmtId="167" fontId="0" fillId="0" borderId="0" xfId="0" applyNumberFormat="1"/>
    <xf numFmtId="168" fontId="0" fillId="0" borderId="0" xfId="0" applyNumberFormat="1"/>
    <xf numFmtId="1" fontId="0" fillId="0" borderId="0" xfId="0" applyNumberFormat="1"/>
    <xf numFmtId="0" fontId="22" fillId="0" borderId="0" xfId="0" applyFont="1"/>
    <xf numFmtId="0" fontId="16" fillId="0" borderId="0" xfId="0" applyFont="1" applyBorder="1" applyAlignment="1">
      <alignment horizontal="left"/>
    </xf>
    <xf numFmtId="9" fontId="0" fillId="0" borderId="0" xfId="0" applyNumberFormat="1"/>
    <xf numFmtId="0" fontId="16" fillId="0" borderId="0" xfId="0" applyFont="1"/>
    <xf numFmtId="10" fontId="0" fillId="0" borderId="0" xfId="42" applyNumberFormat="1" applyFont="1"/>
    <xf numFmtId="0" fontId="16" fillId="0" borderId="0" xfId="0" pivotButton="1" applyFont="1"/>
    <xf numFmtId="9"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0">
    <dxf>
      <numFmt numFmtId="2" formatCode="0.00"/>
    </dxf>
    <dxf>
      <numFmt numFmtId="1" formatCode="0"/>
    </dxf>
    <dxf>
      <numFmt numFmtId="1" formatCode="0"/>
    </dxf>
    <dxf>
      <numFmt numFmtId="1" formatCode="0"/>
    </dxf>
    <dxf>
      <numFmt numFmtId="168" formatCode="&quot;₺&quot;#,##0.0,,,&quot;B&quot;"/>
    </dxf>
    <dxf>
      <numFmt numFmtId="13" formatCode="0%"/>
    </dxf>
    <dxf>
      <numFmt numFmtId="13" formatCode="0%"/>
    </dxf>
    <dxf>
      <numFmt numFmtId="13" formatCode="0%"/>
    </dxf>
    <dxf>
      <numFmt numFmtId="13" formatCode="0%"/>
    </dxf>
    <dxf>
      <numFmt numFmtId="167" formatCode="\₺#,##0,,,&quot;B&quot;"/>
    </dxf>
    <dxf>
      <numFmt numFmtId="14" formatCode="0.00%"/>
    </dxf>
    <dxf>
      <numFmt numFmtId="14" formatCode="0.00%"/>
    </dxf>
    <dxf>
      <numFmt numFmtId="167" formatCode="\₺#,##0,,,&quot;B&quot;"/>
    </dxf>
    <dxf>
      <numFmt numFmtId="167" formatCode="\₺#,##0,,,&quot;B&quot;"/>
    </dxf>
    <dxf>
      <numFmt numFmtId="166" formatCode="\₺#,##0.0,,,&quot;B&quot;"/>
    </dxf>
    <dxf>
      <numFmt numFmtId="167" formatCode="\₺#,##0,,,&quot;B&quot;"/>
    </dxf>
    <dxf>
      <numFmt numFmtId="167" formatCode="\₺#,##0,,,&quot;B&quot;"/>
    </dxf>
    <dxf>
      <numFmt numFmtId="167" formatCode="\₺#,##0,,,&quot;B&quot;"/>
    </dxf>
    <dxf>
      <numFmt numFmtId="14" formatCode="0.00%"/>
    </dxf>
    <dxf>
      <numFmt numFmtId="13" formatCode="0%"/>
    </dxf>
    <dxf>
      <numFmt numFmtId="13" formatCode="0%"/>
    </dxf>
    <dxf>
      <numFmt numFmtId="14" formatCode="0.00%"/>
    </dxf>
    <dxf>
      <numFmt numFmtId="167" formatCode="\₺#,##0,,,&quot;B&quot;"/>
    </dxf>
    <dxf>
      <numFmt numFmtId="166" formatCode="\₺#,##0.0,,,&quot;B&quot;"/>
    </dxf>
    <dxf>
      <numFmt numFmtId="166" formatCode="\₺#,##0.0,,,&quot;B&quot;"/>
    </dxf>
    <dxf>
      <numFmt numFmtId="166" formatCode="\₺#,##0.0,,,&quot;B&quot;"/>
    </dxf>
    <dxf>
      <numFmt numFmtId="166" formatCode="\₺#,##0.0,,,&quot;B&quot;"/>
    </dxf>
    <dxf>
      <numFmt numFmtId="166" formatCode="\₺#,##0.0,,,&quot;B&quot;"/>
    </dxf>
    <dxf>
      <numFmt numFmtId="166" formatCode="\₺#,##0.0,,,&quot;B&quot;"/>
    </dxf>
    <dxf>
      <numFmt numFmtId="166" formatCode="\₺#,##0.0,,,&quot;B&quot;"/>
    </dxf>
    <dxf>
      <numFmt numFmtId="167" formatCode="\₺#,##0,,,&quot;B&quot;"/>
    </dxf>
    <dxf>
      <numFmt numFmtId="0" formatCode="General"/>
    </dxf>
    <dxf>
      <numFmt numFmtId="0" formatCode="General"/>
    </dxf>
    <dxf>
      <numFmt numFmtId="1" formatCode="0"/>
    </dxf>
    <dxf>
      <numFmt numFmtId="169" formatCode="&quot;₺&quot;#,##0,,,&quot;B&quot;"/>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numFmt numFmtId="2" formatCode="0.0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5" formatCode="_([$USD]\ * #,##0.00_);_([$USD]\ * \(#,##0.00\);_([$USD]\ * &quot;-&quot;??_);_(@_)"/>
      <alignment horizontal="general" vertical="bottom" textRotation="0" wrapText="0" indent="0" justifyLastLine="0" shrinkToFit="0" readingOrder="0"/>
    </dxf>
    <dxf>
      <numFmt numFmtId="164" formatCode="_([$TRY]\ * #,##0.00_);_([$TRY]\ * \(#,##0.00\);_([$TRY]\ * &quot;-&quot;??_);_(@_)"/>
      <alignment horizontal="general" vertical="bottom" textRotation="0" wrapText="0" indent="0" justifyLastLine="0" shrinkToFit="0" readingOrder="0"/>
    </dxf>
    <dxf>
      <numFmt numFmtId="164" formatCode="_([$TRY]\ * #,##0.00_);_([$TRY]\ * \(#,##0.00\);_([$TRY]\ * &quot;-&quot;??_);_(@_)"/>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3"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pivotCacheDefinition" Target="pivotCache/pivotCacheDefinition1.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v>Total</c:v>
          </c:tx>
          <c:spPr>
            <a:solidFill>
              <a:srgbClr val="002060"/>
            </a:solidFill>
          </c:spPr>
          <c:dPt>
            <c:idx val="0"/>
            <c:bubble3D val="0"/>
            <c:spPr>
              <a:solidFill>
                <a:schemeClr val="tx2">
                  <a:lumMod val="75000"/>
                  <a:lumOff val="25000"/>
                </a:schemeClr>
              </a:solidFill>
              <a:ln w="19050">
                <a:noFill/>
              </a:ln>
              <a:effectLst/>
            </c:spPr>
            <c:extLst>
              <c:ext xmlns:c16="http://schemas.microsoft.com/office/drawing/2014/chart" uri="{C3380CC4-5D6E-409C-BE32-E72D297353CC}">
                <c16:uniqueId val="{00000001-8FEC-4AAC-9013-F0B172CB2F68}"/>
              </c:ext>
            </c:extLst>
          </c:dPt>
          <c:dPt>
            <c:idx val="1"/>
            <c:bubble3D val="0"/>
            <c:spPr>
              <a:solidFill>
                <a:srgbClr val="002060"/>
              </a:solidFill>
              <a:ln w="19050">
                <a:noFill/>
              </a:ln>
              <a:effectLst/>
            </c:spPr>
            <c:extLst>
              <c:ext xmlns:c16="http://schemas.microsoft.com/office/drawing/2014/chart" uri="{C3380CC4-5D6E-409C-BE32-E72D297353CC}">
                <c16:uniqueId val="{00000003-8FEC-4AAC-9013-F0B172CB2F68}"/>
              </c:ext>
            </c:extLst>
          </c:dPt>
          <c:dLbls>
            <c:dLbl>
              <c:idx val="0"/>
              <c:layout>
                <c:manualLayout>
                  <c:x val="7.261247040252565E-2"/>
                  <c:y val="-4.87804878048780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EC-4AAC-9013-F0B172CB2F68}"/>
                </c:ext>
              </c:extLst>
            </c:dLbl>
            <c:dLbl>
              <c:idx val="1"/>
              <c:layout>
                <c:manualLayout>
                  <c:x val="-3.7884767166535126E-2"/>
                  <c:y val="7.804878048780469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EC-4AAC-9013-F0B172CB2F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2"/>
              <c:pt idx="0">
                <c:v>Other Support Type</c:v>
              </c:pt>
              <c:pt idx="1">
                <c:v>Tax Relief</c:v>
              </c:pt>
            </c:strLit>
          </c:cat>
          <c:val>
            <c:numLit>
              <c:formatCode>General</c:formatCode>
              <c:ptCount val="2"/>
              <c:pt idx="0">
                <c:v>33462533998</c:v>
              </c:pt>
              <c:pt idx="1">
                <c:v>113986374254</c:v>
              </c:pt>
            </c:numLit>
          </c:val>
          <c:extLst>
            <c:ext xmlns:c16="http://schemas.microsoft.com/office/drawing/2014/chart" uri="{C3380CC4-5D6E-409C-BE32-E72D297353CC}">
              <c16:uniqueId val="{00000004-8FEC-4AAC-9013-F0B172CB2F6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[Calculated and Cleaned Turkey_FFS_Data.xlsx]EDA!PivotTable2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EDA!$B$3</c:f>
              <c:strCache>
                <c:ptCount val="1"/>
                <c:pt idx="0">
                  <c:v>Sum of Norminal TRY</c:v>
                </c:pt>
              </c:strCache>
            </c:strRef>
          </c:tx>
          <c:spPr>
            <a:ln w="28575" cap="rnd">
              <a:solidFill>
                <a:schemeClr val="accent1"/>
              </a:solidFill>
              <a:round/>
            </a:ln>
            <a:effectLst/>
          </c:spPr>
          <c:marker>
            <c:symbol val="none"/>
          </c:marker>
          <c:cat>
            <c:strRef>
              <c:f>EDA!$A$4:$A$8</c:f>
              <c:strCache>
                <c:ptCount val="4"/>
                <c:pt idx="0">
                  <c:v>2020</c:v>
                </c:pt>
                <c:pt idx="1">
                  <c:v>2021</c:v>
                </c:pt>
                <c:pt idx="2">
                  <c:v>2022</c:v>
                </c:pt>
                <c:pt idx="3">
                  <c:v>2023</c:v>
                </c:pt>
              </c:strCache>
            </c:strRef>
          </c:cat>
          <c:val>
            <c:numRef>
              <c:f>EDA!$B$4:$B$8</c:f>
              <c:numCache>
                <c:formatCode>\₺#,##0,,,"B"</c:formatCode>
                <c:ptCount val="4"/>
                <c:pt idx="0">
                  <c:v>27846709056</c:v>
                </c:pt>
                <c:pt idx="1">
                  <c:v>29018209352</c:v>
                </c:pt>
                <c:pt idx="2">
                  <c:v>40593095036</c:v>
                </c:pt>
                <c:pt idx="3">
                  <c:v>49990894808</c:v>
                </c:pt>
              </c:numCache>
            </c:numRef>
          </c:val>
          <c:smooth val="0"/>
          <c:extLst>
            <c:ext xmlns:c16="http://schemas.microsoft.com/office/drawing/2014/chart" uri="{C3380CC4-5D6E-409C-BE32-E72D297353CC}">
              <c16:uniqueId val="{00000000-3B67-41B3-B80E-F134CFD1AEC4}"/>
            </c:ext>
          </c:extLst>
        </c:ser>
        <c:ser>
          <c:idx val="1"/>
          <c:order val="1"/>
          <c:tx>
            <c:strRef>
              <c:f>EDA!$C$3</c:f>
              <c:strCache>
                <c:ptCount val="1"/>
                <c:pt idx="0">
                  <c:v>Sum of Real 2023 TRY</c:v>
                </c:pt>
              </c:strCache>
            </c:strRef>
          </c:tx>
          <c:spPr>
            <a:ln w="28575" cap="rnd">
              <a:solidFill>
                <a:schemeClr val="accent2"/>
              </a:solidFill>
              <a:round/>
            </a:ln>
            <a:effectLst/>
          </c:spPr>
          <c:marker>
            <c:symbol val="none"/>
          </c:marker>
          <c:cat>
            <c:strRef>
              <c:f>EDA!$A$4:$A$8</c:f>
              <c:strCache>
                <c:ptCount val="4"/>
                <c:pt idx="0">
                  <c:v>2020</c:v>
                </c:pt>
                <c:pt idx="1">
                  <c:v>2021</c:v>
                </c:pt>
                <c:pt idx="2">
                  <c:v>2022</c:v>
                </c:pt>
                <c:pt idx="3">
                  <c:v>2023</c:v>
                </c:pt>
              </c:strCache>
            </c:strRef>
          </c:cat>
          <c:val>
            <c:numRef>
              <c:f>EDA!$C$4:$C$8</c:f>
              <c:numCache>
                <c:formatCode>\₺#,##0,,,"B"</c:formatCode>
                <c:ptCount val="4"/>
                <c:pt idx="0">
                  <c:v>88313877696.946915</c:v>
                </c:pt>
                <c:pt idx="1">
                  <c:v>76947498684.070328</c:v>
                </c:pt>
                <c:pt idx="2">
                  <c:v>62472773260.403999</c:v>
                </c:pt>
                <c:pt idx="3">
                  <c:v>49990894808</c:v>
                </c:pt>
              </c:numCache>
            </c:numRef>
          </c:val>
          <c:smooth val="0"/>
          <c:extLst>
            <c:ext xmlns:c16="http://schemas.microsoft.com/office/drawing/2014/chart" uri="{C3380CC4-5D6E-409C-BE32-E72D297353CC}">
              <c16:uniqueId val="{00000001-3B67-41B3-B80E-F134CFD1AEC4}"/>
            </c:ext>
          </c:extLst>
        </c:ser>
        <c:dLbls>
          <c:showLegendKey val="0"/>
          <c:showVal val="0"/>
          <c:showCatName val="0"/>
          <c:showSerName val="0"/>
          <c:showPercent val="0"/>
          <c:showBubbleSize val="0"/>
        </c:dLbls>
        <c:smooth val="0"/>
        <c:axId val="1624452880"/>
        <c:axId val="1622700720"/>
      </c:lineChart>
      <c:catAx>
        <c:axId val="162445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22700720"/>
        <c:crosses val="autoZero"/>
        <c:auto val="1"/>
        <c:lblAlgn val="ctr"/>
        <c:lblOffset val="100"/>
        <c:noMultiLvlLbl val="0"/>
      </c:catAx>
      <c:valAx>
        <c:axId val="1622700720"/>
        <c:scaling>
          <c:orientation val="minMax"/>
        </c:scaling>
        <c:delete val="0"/>
        <c:axPos val="l"/>
        <c:majorGridlines>
          <c:spPr>
            <a:ln w="9525" cap="flat" cmpd="sng" algn="ctr">
              <a:solidFill>
                <a:schemeClr val="tx1">
                  <a:lumMod val="15000"/>
                  <a:lumOff val="85000"/>
                </a:schemeClr>
              </a:solidFill>
              <a:round/>
            </a:ln>
            <a:effectLst/>
          </c:spPr>
        </c:majorGridlines>
        <c:numFmt formatCode="\₺#,##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2445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[Calculated and Cleaned Turkey_FFS_Data.xlsx]EDA!PivotTable5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Support Type by Real 2023 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dLbl>
          <c:idx val="0"/>
          <c:layout>
            <c:manualLayout>
              <c:x val="0.1111111111111111"/>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dLbl>
          <c:idx val="0"/>
          <c:layout>
            <c:manualLayout>
              <c:x val="-6.1111111111111109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EDA!$B$40</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D7D0-4C75-A4C9-B74ECF09FC4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2-D7D0-4C75-A4C9-B74ECF09FC47}"/>
              </c:ext>
            </c:extLst>
          </c:dPt>
          <c:dLbls>
            <c:dLbl>
              <c:idx val="0"/>
              <c:layout>
                <c:manualLayout>
                  <c:x val="0.1111111111111111"/>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D0-4C75-A4C9-B74ECF09FC47}"/>
                </c:ext>
              </c:extLst>
            </c:dLbl>
            <c:dLbl>
              <c:idx val="1"/>
              <c:layout>
                <c:manualLayout>
                  <c:x val="-6.1111111111111109E-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D0-4C75-A4C9-B74ECF09FC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EDA!$A$41:$A$43</c:f>
              <c:strCache>
                <c:ptCount val="2"/>
                <c:pt idx="0">
                  <c:v>Tax Relief</c:v>
                </c:pt>
                <c:pt idx="1">
                  <c:v>Other Support Type</c:v>
                </c:pt>
              </c:strCache>
            </c:strRef>
          </c:cat>
          <c:val>
            <c:numRef>
              <c:f>EDA!$B$41:$B$43</c:f>
              <c:numCache>
                <c:formatCode>0.00%</c:formatCode>
                <c:ptCount val="2"/>
                <c:pt idx="0">
                  <c:v>0.75275481308319336</c:v>
                </c:pt>
                <c:pt idx="1">
                  <c:v>0.24724518691680669</c:v>
                </c:pt>
              </c:numCache>
            </c:numRef>
          </c:val>
          <c:extLst>
            <c:ext xmlns:c16="http://schemas.microsoft.com/office/drawing/2014/chart" uri="{C3380CC4-5D6E-409C-BE32-E72D297353CC}">
              <c16:uniqueId val="{00000000-D7D0-4C75-A4C9-B74ECF09FC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[Calculated and Cleaned Turkey_FFS_Data.xlsx]EDA!PivotTable1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Fuel Type Vs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bg1">
                <a:lumMod val="95000"/>
              </a:schemeClr>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bg1">
                <a:lumMod val="95000"/>
                <a:alpha val="50000"/>
              </a:schemeClr>
            </a:solidFill>
            <a:round/>
          </a:ln>
          <a:effectLst/>
        </c:spPr>
        <c:marker>
          <c:symbol val="none"/>
        </c:marker>
      </c:pivotFmt>
      <c:pivotFmt>
        <c:idx val="3"/>
        <c:spPr>
          <a:ln w="28575" cap="rnd">
            <a:solidFill>
              <a:schemeClr val="bg1">
                <a:lumMod val="95000"/>
                <a:alpha val="50000"/>
              </a:schemeClr>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EDA!$B$74:$B$75</c:f>
              <c:strCache>
                <c:ptCount val="1"/>
                <c:pt idx="0">
                  <c:v>Coal</c:v>
                </c:pt>
              </c:strCache>
            </c:strRef>
          </c:tx>
          <c:spPr>
            <a:ln w="28575" cap="rnd">
              <a:solidFill>
                <a:schemeClr val="bg1">
                  <a:lumMod val="95000"/>
                </a:schemeClr>
              </a:solidFill>
              <a:round/>
            </a:ln>
            <a:effectLst/>
          </c:spPr>
          <c:marker>
            <c:symbol val="none"/>
          </c:marker>
          <c:cat>
            <c:strRef>
              <c:f>EDA!$A$76:$A$79</c:f>
              <c:strCache>
                <c:ptCount val="4"/>
                <c:pt idx="0">
                  <c:v>2020</c:v>
                </c:pt>
                <c:pt idx="1">
                  <c:v>2021</c:v>
                </c:pt>
                <c:pt idx="2">
                  <c:v>2022</c:v>
                </c:pt>
                <c:pt idx="3">
                  <c:v>2023</c:v>
                </c:pt>
              </c:strCache>
            </c:strRef>
          </c:cat>
          <c:val>
            <c:numRef>
              <c:f>EDA!$B$76:$B$79</c:f>
              <c:numCache>
                <c:formatCode>\₺#,##0,,,"B"</c:formatCode>
                <c:ptCount val="4"/>
                <c:pt idx="0">
                  <c:v>17537580655.934803</c:v>
                </c:pt>
                <c:pt idx="1">
                  <c:v>15335468996.334118</c:v>
                </c:pt>
                <c:pt idx="2">
                  <c:v>9366917212.4399986</c:v>
                </c:pt>
                <c:pt idx="3">
                  <c:v>4926015430</c:v>
                </c:pt>
              </c:numCache>
            </c:numRef>
          </c:val>
          <c:smooth val="0"/>
          <c:extLst>
            <c:ext xmlns:c16="http://schemas.microsoft.com/office/drawing/2014/chart" uri="{C3380CC4-5D6E-409C-BE32-E72D297353CC}">
              <c16:uniqueId val="{00000000-B5C2-4357-A3A5-2DB22639CBE9}"/>
            </c:ext>
          </c:extLst>
        </c:ser>
        <c:ser>
          <c:idx val="1"/>
          <c:order val="1"/>
          <c:tx>
            <c:strRef>
              <c:f>EDA!$C$74:$C$75</c:f>
              <c:strCache>
                <c:ptCount val="1"/>
                <c:pt idx="0">
                  <c:v>Fuel</c:v>
                </c:pt>
              </c:strCache>
            </c:strRef>
          </c:tx>
          <c:spPr>
            <a:ln w="28575" cap="rnd">
              <a:solidFill>
                <a:schemeClr val="accent2"/>
              </a:solidFill>
              <a:round/>
            </a:ln>
            <a:effectLst/>
          </c:spPr>
          <c:marker>
            <c:symbol val="none"/>
          </c:marker>
          <c:cat>
            <c:strRef>
              <c:f>EDA!$A$76:$A$79</c:f>
              <c:strCache>
                <c:ptCount val="4"/>
                <c:pt idx="0">
                  <c:v>2020</c:v>
                </c:pt>
                <c:pt idx="1">
                  <c:v>2021</c:v>
                </c:pt>
                <c:pt idx="2">
                  <c:v>2022</c:v>
                </c:pt>
                <c:pt idx="3">
                  <c:v>2023</c:v>
                </c:pt>
              </c:strCache>
            </c:strRef>
          </c:cat>
          <c:val>
            <c:numRef>
              <c:f>EDA!$C$76:$C$79</c:f>
              <c:numCache>
                <c:formatCode>\₺#,##0,,,"B"</c:formatCode>
                <c:ptCount val="4"/>
                <c:pt idx="0">
                  <c:v>47824057936.027443</c:v>
                </c:pt>
                <c:pt idx="1">
                  <c:v>38751616120.353119</c:v>
                </c:pt>
                <c:pt idx="2">
                  <c:v>23937629023.440002</c:v>
                </c:pt>
                <c:pt idx="3">
                  <c:v>19729396960</c:v>
                </c:pt>
              </c:numCache>
            </c:numRef>
          </c:val>
          <c:smooth val="0"/>
          <c:extLst>
            <c:ext xmlns:c16="http://schemas.microsoft.com/office/drawing/2014/chart" uri="{C3380CC4-5D6E-409C-BE32-E72D297353CC}">
              <c16:uniqueId val="{00000001-B5C2-4357-A3A5-2DB22639CBE9}"/>
            </c:ext>
          </c:extLst>
        </c:ser>
        <c:ser>
          <c:idx val="2"/>
          <c:order val="2"/>
          <c:tx>
            <c:strRef>
              <c:f>EDA!$D$74:$D$75</c:f>
              <c:strCache>
                <c:ptCount val="1"/>
                <c:pt idx="0">
                  <c:v>General Fossil Fuel Support</c:v>
                </c:pt>
              </c:strCache>
            </c:strRef>
          </c:tx>
          <c:spPr>
            <a:ln w="28575" cap="rnd">
              <a:solidFill>
                <a:schemeClr val="bg1">
                  <a:lumMod val="95000"/>
                  <a:alpha val="50000"/>
                </a:schemeClr>
              </a:solidFill>
              <a:round/>
            </a:ln>
            <a:effectLst/>
          </c:spPr>
          <c:marker>
            <c:symbol val="none"/>
          </c:marker>
          <c:cat>
            <c:strRef>
              <c:f>EDA!$A$76:$A$79</c:f>
              <c:strCache>
                <c:ptCount val="4"/>
                <c:pt idx="0">
                  <c:v>2020</c:v>
                </c:pt>
                <c:pt idx="1">
                  <c:v>2021</c:v>
                </c:pt>
                <c:pt idx="2">
                  <c:v>2022</c:v>
                </c:pt>
                <c:pt idx="3">
                  <c:v>2023</c:v>
                </c:pt>
              </c:strCache>
            </c:strRef>
          </c:cat>
          <c:val>
            <c:numRef>
              <c:f>EDA!$D$76:$D$79</c:f>
              <c:numCache>
                <c:formatCode>\₺#,##0,,,"B"</c:formatCode>
                <c:ptCount val="4"/>
                <c:pt idx="0">
                  <c:v>2958322253.1634841</c:v>
                </c:pt>
                <c:pt idx="1">
                  <c:v>2904644288.7035365</c:v>
                </c:pt>
                <c:pt idx="2">
                  <c:v>3710437021.6649995</c:v>
                </c:pt>
                <c:pt idx="3">
                  <c:v>8555051432</c:v>
                </c:pt>
              </c:numCache>
            </c:numRef>
          </c:val>
          <c:smooth val="0"/>
          <c:extLst>
            <c:ext xmlns:c16="http://schemas.microsoft.com/office/drawing/2014/chart" uri="{C3380CC4-5D6E-409C-BE32-E72D297353CC}">
              <c16:uniqueId val="{00000002-B5C2-4357-A3A5-2DB22639CBE9}"/>
            </c:ext>
          </c:extLst>
        </c:ser>
        <c:ser>
          <c:idx val="3"/>
          <c:order val="3"/>
          <c:tx>
            <c:strRef>
              <c:f>EDA!$E$74:$E$75</c:f>
              <c:strCache>
                <c:ptCount val="1"/>
                <c:pt idx="0">
                  <c:v>Natural Gas</c:v>
                </c:pt>
              </c:strCache>
            </c:strRef>
          </c:tx>
          <c:spPr>
            <a:ln w="28575" cap="rnd">
              <a:solidFill>
                <a:schemeClr val="bg1">
                  <a:lumMod val="95000"/>
                  <a:alpha val="50000"/>
                </a:schemeClr>
              </a:solidFill>
              <a:round/>
            </a:ln>
            <a:effectLst/>
          </c:spPr>
          <c:marker>
            <c:symbol val="none"/>
          </c:marker>
          <c:cat>
            <c:strRef>
              <c:f>EDA!$A$76:$A$79</c:f>
              <c:strCache>
                <c:ptCount val="4"/>
                <c:pt idx="0">
                  <c:v>2020</c:v>
                </c:pt>
                <c:pt idx="1">
                  <c:v>2021</c:v>
                </c:pt>
                <c:pt idx="2">
                  <c:v>2022</c:v>
                </c:pt>
                <c:pt idx="3">
                  <c:v>2023</c:v>
                </c:pt>
              </c:strCache>
            </c:strRef>
          </c:cat>
          <c:val>
            <c:numRef>
              <c:f>EDA!$E$76:$E$79</c:f>
              <c:numCache>
                <c:formatCode>\₺#,##0,,,"B"</c:formatCode>
                <c:ptCount val="4"/>
                <c:pt idx="0">
                  <c:v>6484633719.2316303</c:v>
                </c:pt>
                <c:pt idx="1">
                  <c:v>7141185741.4557104</c:v>
                </c:pt>
                <c:pt idx="2">
                  <c:v>4200361044.309</c:v>
                </c:pt>
                <c:pt idx="3">
                  <c:v>3666073536</c:v>
                </c:pt>
              </c:numCache>
            </c:numRef>
          </c:val>
          <c:smooth val="0"/>
          <c:extLst>
            <c:ext xmlns:c16="http://schemas.microsoft.com/office/drawing/2014/chart" uri="{C3380CC4-5D6E-409C-BE32-E72D297353CC}">
              <c16:uniqueId val="{00000003-B5C2-4357-A3A5-2DB22639CBE9}"/>
            </c:ext>
          </c:extLst>
        </c:ser>
        <c:ser>
          <c:idx val="4"/>
          <c:order val="4"/>
          <c:tx>
            <c:strRef>
              <c:f>EDA!$F$74:$F$75</c:f>
              <c:strCache>
                <c:ptCount val="1"/>
                <c:pt idx="0">
                  <c:v>Oil</c:v>
                </c:pt>
              </c:strCache>
            </c:strRef>
          </c:tx>
          <c:spPr>
            <a:ln w="28575" cap="rnd">
              <a:solidFill>
                <a:schemeClr val="accent5"/>
              </a:solidFill>
              <a:round/>
            </a:ln>
            <a:effectLst/>
          </c:spPr>
          <c:marker>
            <c:symbol val="none"/>
          </c:marker>
          <c:cat>
            <c:strRef>
              <c:f>EDA!$A$76:$A$79</c:f>
              <c:strCache>
                <c:ptCount val="4"/>
                <c:pt idx="0">
                  <c:v>2020</c:v>
                </c:pt>
                <c:pt idx="1">
                  <c:v>2021</c:v>
                </c:pt>
                <c:pt idx="2">
                  <c:v>2022</c:v>
                </c:pt>
                <c:pt idx="3">
                  <c:v>2023</c:v>
                </c:pt>
              </c:strCache>
            </c:strRef>
          </c:cat>
          <c:val>
            <c:numRef>
              <c:f>EDA!$F$76:$F$79</c:f>
              <c:numCache>
                <c:formatCode>\₺#,##0,,,"B"</c:formatCode>
                <c:ptCount val="4"/>
                <c:pt idx="0">
                  <c:v>13509283132.589588</c:v>
                </c:pt>
                <c:pt idx="1">
                  <c:v>12814583537.223852</c:v>
                </c:pt>
                <c:pt idx="2">
                  <c:v>21257428958.550003</c:v>
                </c:pt>
                <c:pt idx="3">
                  <c:v>13114357450</c:v>
                </c:pt>
              </c:numCache>
            </c:numRef>
          </c:val>
          <c:smooth val="0"/>
          <c:extLst>
            <c:ext xmlns:c16="http://schemas.microsoft.com/office/drawing/2014/chart" uri="{C3380CC4-5D6E-409C-BE32-E72D297353CC}">
              <c16:uniqueId val="{00000004-B5C2-4357-A3A5-2DB22639CBE9}"/>
            </c:ext>
          </c:extLst>
        </c:ser>
        <c:dLbls>
          <c:showLegendKey val="0"/>
          <c:showVal val="0"/>
          <c:showCatName val="0"/>
          <c:showSerName val="0"/>
          <c:showPercent val="0"/>
          <c:showBubbleSize val="0"/>
        </c:dLbls>
        <c:smooth val="0"/>
        <c:axId val="1578530128"/>
        <c:axId val="1622865040"/>
      </c:lineChart>
      <c:catAx>
        <c:axId val="157853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22865040"/>
        <c:crosses val="autoZero"/>
        <c:auto val="1"/>
        <c:lblAlgn val="ctr"/>
        <c:lblOffset val="100"/>
        <c:noMultiLvlLbl val="0"/>
      </c:catAx>
      <c:valAx>
        <c:axId val="1622865040"/>
        <c:scaling>
          <c:orientation val="minMax"/>
        </c:scaling>
        <c:delete val="0"/>
        <c:axPos val="l"/>
        <c:majorGridlines>
          <c:spPr>
            <a:ln w="9525" cap="flat" cmpd="sng" algn="ctr">
              <a:solidFill>
                <a:schemeClr val="tx1">
                  <a:lumMod val="15000"/>
                  <a:lumOff val="85000"/>
                </a:schemeClr>
              </a:solidFill>
              <a:round/>
            </a:ln>
            <a:effectLst/>
          </c:spPr>
        </c:majorGridlines>
        <c:numFmt formatCode="\₺#,##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85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[Calculated and Cleaned Turkey_FFS_Data.xlsx]EDA!PivotTable4</c:name>
    <c:fmtId val="9"/>
  </c:pivotSource>
  <c:chart>
    <c:autoTitleDeleted val="0"/>
    <c:pivotFmts>
      <c:pivotFmt>
        <c:idx val="0"/>
        <c:spPr>
          <a:ln w="28575" cap="rnd">
            <a:solidFill>
              <a:schemeClr val="bg1">
                <a:lumMod val="95000"/>
              </a:schemeClr>
            </a:solidFill>
            <a:round/>
          </a:ln>
          <a:effectLst/>
        </c:spPr>
        <c:marker>
          <c:symbol val="none"/>
        </c:marker>
      </c:pivotFmt>
      <c:pivotFmt>
        <c:idx val="1"/>
        <c:spPr>
          <a:ln w="28575" cap="rnd">
            <a:solidFill>
              <a:schemeClr val="bg1">
                <a:lumMod val="95000"/>
              </a:schemeClr>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bg1">
                <a:lumMod val="95000"/>
              </a:schemeClr>
            </a:solidFill>
            <a:round/>
          </a:ln>
          <a:effectLst/>
        </c:spPr>
        <c:marker>
          <c:symbol val="none"/>
        </c:marker>
      </c:pivotFmt>
      <c:pivotFmt>
        <c:idx val="4"/>
        <c:spPr>
          <a:ln w="28575" cap="rnd">
            <a:solidFill>
              <a:schemeClr val="bg1">
                <a:lumMod val="95000"/>
              </a:schemeClr>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bg1">
                <a:lumMod val="95000"/>
              </a:schemeClr>
            </a:solidFill>
            <a:round/>
          </a:ln>
          <a:effectLst/>
        </c:spPr>
        <c:marker>
          <c:symbol val="none"/>
        </c:marker>
      </c:pivotFmt>
      <c:pivotFmt>
        <c:idx val="7"/>
        <c:spPr>
          <a:ln w="28575" cap="rnd">
            <a:solidFill>
              <a:schemeClr val="bg1">
                <a:lumMod val="95000"/>
              </a:schemeClr>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bg1">
                <a:lumMod val="95000"/>
              </a:schemeClr>
            </a:solidFill>
            <a:round/>
          </a:ln>
          <a:effectLst/>
        </c:spPr>
        <c:marker>
          <c:symbol val="none"/>
        </c:marker>
      </c:pivotFmt>
      <c:pivotFmt>
        <c:idx val="12"/>
        <c:spPr>
          <a:ln w="28575" cap="rnd">
            <a:solidFill>
              <a:schemeClr val="bg1">
                <a:lumMod val="95000"/>
              </a:schemeClr>
            </a:solidFill>
            <a:round/>
          </a:ln>
          <a:effectLst/>
        </c:spPr>
        <c:marker>
          <c:symbol val="none"/>
        </c:marker>
      </c:pivotFmt>
      <c:pivotFmt>
        <c:idx val="13"/>
        <c:spPr>
          <a:ln w="28575" cap="rnd">
            <a:solidFill>
              <a:schemeClr val="bg1">
                <a:lumMod val="95000"/>
              </a:schemeClr>
            </a:solidFill>
            <a:round/>
          </a:ln>
          <a:effectLst/>
        </c:spPr>
        <c:marker>
          <c:symbol val="none"/>
        </c:marker>
      </c:pivotFmt>
      <c:pivotFmt>
        <c:idx val="14"/>
        <c:spPr>
          <a:ln w="28575" cap="rnd">
            <a:solidFill>
              <a:schemeClr val="bg1">
                <a:lumMod val="95000"/>
              </a:schemeClr>
            </a:solidFill>
            <a:round/>
          </a:ln>
          <a:effectLst/>
        </c:spPr>
        <c:marker>
          <c:symbol val="none"/>
        </c:marker>
      </c:pivotFmt>
      <c:pivotFmt>
        <c:idx val="15"/>
        <c:spPr>
          <a:ln w="28575" cap="rnd">
            <a:solidFill>
              <a:schemeClr val="bg1">
                <a:lumMod val="95000"/>
                <a:alpha val="50000"/>
              </a:schemeClr>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bg1">
                <a:lumMod val="95000"/>
              </a:schemeClr>
            </a:solidFill>
            <a:round/>
          </a:ln>
          <a:effectLst/>
        </c:spPr>
        <c:marker>
          <c:symbol val="none"/>
        </c:marker>
      </c:pivotFmt>
      <c:pivotFmt>
        <c:idx val="18"/>
        <c:spPr>
          <a:ln w="28575" cap="rnd">
            <a:solidFill>
              <a:schemeClr val="bg1">
                <a:lumMod val="95000"/>
              </a:schemeClr>
            </a:solidFill>
            <a:round/>
          </a:ln>
          <a:effectLst/>
        </c:spPr>
        <c:marker>
          <c:symbol val="none"/>
        </c:marker>
      </c:pivotFmt>
      <c:pivotFmt>
        <c:idx val="19"/>
        <c:spPr>
          <a:ln w="28575" cap="rnd">
            <a:solidFill>
              <a:schemeClr val="bg1">
                <a:lumMod val="95000"/>
              </a:schemeClr>
            </a:solidFill>
            <a:round/>
          </a:ln>
          <a:effectLst/>
        </c:spPr>
        <c:marker>
          <c:symbol val="none"/>
        </c:marker>
      </c:pivotFmt>
      <c:pivotFmt>
        <c:idx val="20"/>
        <c:spPr>
          <a:ln w="28575" cap="rnd">
            <a:solidFill>
              <a:schemeClr val="bg1">
                <a:lumMod val="95000"/>
              </a:schemeClr>
            </a:solidFill>
            <a:round/>
          </a:ln>
          <a:effectLst/>
        </c:spPr>
        <c:marker>
          <c:symbol val="none"/>
        </c:marker>
      </c:pivotFmt>
      <c:pivotFmt>
        <c:idx val="21"/>
        <c:spPr>
          <a:ln w="28575" cap="rnd">
            <a:solidFill>
              <a:schemeClr val="bg1">
                <a:lumMod val="95000"/>
              </a:schemeClr>
            </a:solidFill>
            <a:round/>
          </a:ln>
          <a:effectLst/>
        </c:spPr>
        <c:marker>
          <c:symbol val="none"/>
        </c:marker>
      </c:pivotFmt>
      <c:pivotFmt>
        <c:idx val="22"/>
        <c:spPr>
          <a:ln w="28575" cap="rnd">
            <a:solidFill>
              <a:schemeClr val="bg1">
                <a:lumMod val="95000"/>
              </a:schemeClr>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bg1">
                <a:lumMod val="95000"/>
              </a:schemeClr>
            </a:solidFill>
            <a:round/>
          </a:ln>
          <a:effectLst/>
        </c:spPr>
        <c:marker>
          <c:symbol val="none"/>
        </c:marker>
      </c:pivotFmt>
      <c:pivotFmt>
        <c:idx val="25"/>
        <c:spPr>
          <a:ln w="28575" cap="rnd">
            <a:solidFill>
              <a:schemeClr val="bg1">
                <a:lumMod val="95000"/>
              </a:schemeClr>
            </a:solidFill>
            <a:round/>
          </a:ln>
          <a:effectLst/>
        </c:spPr>
        <c:marker>
          <c:symbol val="none"/>
        </c:marker>
      </c:pivotFmt>
      <c:pivotFmt>
        <c:idx val="26"/>
        <c:spPr>
          <a:ln w="28575" cap="rnd">
            <a:solidFill>
              <a:schemeClr val="bg1">
                <a:lumMod val="95000"/>
              </a:schemeClr>
            </a:solidFill>
            <a:round/>
          </a:ln>
          <a:effectLst/>
        </c:spPr>
        <c:marker>
          <c:symbol val="none"/>
        </c:marker>
      </c:pivotFmt>
      <c:pivotFmt>
        <c:idx val="27"/>
        <c:spPr>
          <a:ln w="28575" cap="rnd">
            <a:solidFill>
              <a:schemeClr val="bg1">
                <a:lumMod val="95000"/>
              </a:schemeClr>
            </a:solidFill>
            <a:round/>
          </a:ln>
          <a:effectLst/>
        </c:spPr>
        <c:marker>
          <c:symbol val="none"/>
        </c:marker>
      </c:pivotFmt>
      <c:pivotFmt>
        <c:idx val="28"/>
        <c:spPr>
          <a:ln w="28575" cap="rnd">
            <a:solidFill>
              <a:schemeClr val="bg1">
                <a:lumMod val="95000"/>
              </a:schemeClr>
            </a:solidFill>
            <a:round/>
          </a:ln>
          <a:effectLst/>
        </c:spPr>
        <c:marker>
          <c:symbol val="none"/>
        </c:marker>
      </c:pivotFmt>
    </c:pivotFmts>
    <c:plotArea>
      <c:layout/>
      <c:lineChart>
        <c:grouping val="standard"/>
        <c:varyColors val="0"/>
        <c:ser>
          <c:idx val="0"/>
          <c:order val="0"/>
          <c:tx>
            <c:strRef>
              <c:f>EDA!$B$106:$B$107</c:f>
              <c:strCache>
                <c:ptCount val="1"/>
                <c:pt idx="0">
                  <c:v>TUR_DT_01</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EDA!$B$108:$B$111</c:f>
              <c:numCache>
                <c:formatCode>\₺#,##0,,,"B"</c:formatCode>
                <c:ptCount val="4"/>
                <c:pt idx="0">
                  <c:v>4757144417.999999</c:v>
                </c:pt>
                <c:pt idx="1">
                  <c:v>3977545499.9999995</c:v>
                </c:pt>
                <c:pt idx="2">
                  <c:v>2308500000</c:v>
                </c:pt>
                <c:pt idx="3">
                  <c:v>1407432980</c:v>
                </c:pt>
              </c:numCache>
            </c:numRef>
          </c:val>
          <c:smooth val="0"/>
          <c:extLst>
            <c:ext xmlns:c16="http://schemas.microsoft.com/office/drawing/2014/chart" uri="{C3380CC4-5D6E-409C-BE32-E72D297353CC}">
              <c16:uniqueId val="{00000000-B66C-492E-AD5C-E75312FFD446}"/>
            </c:ext>
          </c:extLst>
        </c:ser>
        <c:ser>
          <c:idx val="1"/>
          <c:order val="1"/>
          <c:tx>
            <c:strRef>
              <c:f>EDA!$C$106:$C$107</c:f>
              <c:strCache>
                <c:ptCount val="1"/>
                <c:pt idx="0">
                  <c:v>TUR_DT_02</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EDA!$C$108:$C$111</c:f>
              <c:numCache>
                <c:formatCode>\₺#,##0,,,"B"</c:formatCode>
                <c:ptCount val="4"/>
                <c:pt idx="0">
                  <c:v>3853286978.5799994</c:v>
                </c:pt>
                <c:pt idx="1">
                  <c:v>3893751874.7999992</c:v>
                </c:pt>
                <c:pt idx="2">
                  <c:v>2726338500</c:v>
                </c:pt>
                <c:pt idx="3">
                  <c:v>703716490</c:v>
                </c:pt>
              </c:numCache>
            </c:numRef>
          </c:val>
          <c:smooth val="0"/>
          <c:extLst>
            <c:ext xmlns:c16="http://schemas.microsoft.com/office/drawing/2014/chart" uri="{C3380CC4-5D6E-409C-BE32-E72D297353CC}">
              <c16:uniqueId val="{00000001-B66C-492E-AD5C-E75312FFD446}"/>
            </c:ext>
          </c:extLst>
        </c:ser>
        <c:ser>
          <c:idx val="2"/>
          <c:order val="2"/>
          <c:tx>
            <c:strRef>
              <c:f>EDA!$D$106:$D$107</c:f>
              <c:strCache>
                <c:ptCount val="1"/>
                <c:pt idx="0">
                  <c:v>TUR_DT_03</c:v>
                </c:pt>
              </c:strCache>
            </c:strRef>
          </c:tx>
          <c:spPr>
            <a:ln w="28575" cap="rnd">
              <a:solidFill>
                <a:schemeClr val="accent3"/>
              </a:solidFill>
              <a:round/>
            </a:ln>
            <a:effectLst/>
          </c:spPr>
          <c:marker>
            <c:symbol val="none"/>
          </c:marker>
          <c:cat>
            <c:strRef>
              <c:f>EDA!$A$108:$A$111</c:f>
              <c:strCache>
                <c:ptCount val="4"/>
                <c:pt idx="0">
                  <c:v>2020</c:v>
                </c:pt>
                <c:pt idx="1">
                  <c:v>2021</c:v>
                </c:pt>
                <c:pt idx="2">
                  <c:v>2022</c:v>
                </c:pt>
                <c:pt idx="3">
                  <c:v>2023</c:v>
                </c:pt>
              </c:strCache>
            </c:strRef>
          </c:cat>
          <c:val>
            <c:numRef>
              <c:f>EDA!$D$108:$D$111</c:f>
              <c:numCache>
                <c:formatCode>\₺#,##0,,,"B"</c:formatCode>
                <c:ptCount val="4"/>
                <c:pt idx="0">
                  <c:v>1135444.7439770757</c:v>
                </c:pt>
                <c:pt idx="1">
                  <c:v>967246.25620499987</c:v>
                </c:pt>
                <c:pt idx="2">
                  <c:v>620217</c:v>
                </c:pt>
                <c:pt idx="3">
                  <c:v>422000</c:v>
                </c:pt>
              </c:numCache>
            </c:numRef>
          </c:val>
          <c:smooth val="0"/>
          <c:extLst>
            <c:ext xmlns:c16="http://schemas.microsoft.com/office/drawing/2014/chart" uri="{C3380CC4-5D6E-409C-BE32-E72D297353CC}">
              <c16:uniqueId val="{00000002-B66C-492E-AD5C-E75312FFD446}"/>
            </c:ext>
          </c:extLst>
        </c:ser>
        <c:ser>
          <c:idx val="3"/>
          <c:order val="3"/>
          <c:tx>
            <c:strRef>
              <c:f>EDA!$E$106:$E$107</c:f>
              <c:strCache>
                <c:ptCount val="1"/>
                <c:pt idx="0">
                  <c:v>TUR_DT_05</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EDA!$E$108:$E$111</c:f>
              <c:numCache>
                <c:formatCode>\₺#,##0,,,"B"</c:formatCode>
                <c:ptCount val="4"/>
                <c:pt idx="0">
                  <c:v>8927149259.354805</c:v>
                </c:pt>
                <c:pt idx="1">
                  <c:v>7464171621.5341187</c:v>
                </c:pt>
                <c:pt idx="2">
                  <c:v>4332078712.4399996</c:v>
                </c:pt>
                <c:pt idx="3">
                  <c:v>2814865960</c:v>
                </c:pt>
              </c:numCache>
            </c:numRef>
          </c:val>
          <c:smooth val="0"/>
          <c:extLst>
            <c:ext xmlns:c16="http://schemas.microsoft.com/office/drawing/2014/chart" uri="{C3380CC4-5D6E-409C-BE32-E72D297353CC}">
              <c16:uniqueId val="{00000003-B66C-492E-AD5C-E75312FFD446}"/>
            </c:ext>
          </c:extLst>
        </c:ser>
        <c:ser>
          <c:idx val="4"/>
          <c:order val="4"/>
          <c:tx>
            <c:strRef>
              <c:f>EDA!$F$106:$F$107</c:f>
              <c:strCache>
                <c:ptCount val="1"/>
                <c:pt idx="0">
                  <c:v>TUR_DT_07</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EDA!$F$108:$F$111</c:f>
              <c:numCache>
                <c:formatCode>\₺#,##0,,,"B"</c:formatCode>
                <c:ptCount val="4"/>
                <c:pt idx="0">
                  <c:v>346507227.97750795</c:v>
                </c:pt>
                <c:pt idx="1">
                  <c:v>323066849.64630294</c:v>
                </c:pt>
                <c:pt idx="2">
                  <c:v>187502526</c:v>
                </c:pt>
                <c:pt idx="3">
                  <c:v>4222298940</c:v>
                </c:pt>
              </c:numCache>
            </c:numRef>
          </c:val>
          <c:smooth val="0"/>
          <c:extLst>
            <c:ext xmlns:c16="http://schemas.microsoft.com/office/drawing/2014/chart" uri="{C3380CC4-5D6E-409C-BE32-E72D297353CC}">
              <c16:uniqueId val="{00000004-B66C-492E-AD5C-E75312FFD446}"/>
            </c:ext>
          </c:extLst>
        </c:ser>
        <c:ser>
          <c:idx val="5"/>
          <c:order val="5"/>
          <c:tx>
            <c:strRef>
              <c:f>EDA!$G$106:$G$107</c:f>
              <c:strCache>
                <c:ptCount val="1"/>
                <c:pt idx="0">
                  <c:v>TUR_DT_08</c:v>
                </c:pt>
              </c:strCache>
            </c:strRef>
          </c:tx>
          <c:spPr>
            <a:ln w="28575" cap="rnd">
              <a:solidFill>
                <a:schemeClr val="accent6"/>
              </a:solidFill>
              <a:round/>
            </a:ln>
            <a:effectLst/>
          </c:spPr>
          <c:marker>
            <c:symbol val="none"/>
          </c:marker>
          <c:cat>
            <c:strRef>
              <c:f>EDA!$A$108:$A$111</c:f>
              <c:strCache>
                <c:ptCount val="4"/>
                <c:pt idx="0">
                  <c:v>2020</c:v>
                </c:pt>
                <c:pt idx="1">
                  <c:v>2021</c:v>
                </c:pt>
                <c:pt idx="2">
                  <c:v>2022</c:v>
                </c:pt>
                <c:pt idx="3">
                  <c:v>2023</c:v>
                </c:pt>
              </c:strCache>
            </c:strRef>
          </c:cat>
          <c:val>
            <c:numRef>
              <c:f>EDA!$G$108:$G$111</c:f>
              <c:numCache>
                <c:formatCode>\₺#,##0,,,"B"</c:formatCode>
                <c:ptCount val="4"/>
                <c:pt idx="0">
                  <c:v>1703168.7016804197</c:v>
                </c:pt>
                <c:pt idx="1">
                  <c:v>1530418.9684589996</c:v>
                </c:pt>
                <c:pt idx="2">
                  <c:v>931095</c:v>
                </c:pt>
                <c:pt idx="3">
                  <c:v>634600</c:v>
                </c:pt>
              </c:numCache>
            </c:numRef>
          </c:val>
          <c:smooth val="0"/>
          <c:extLst>
            <c:ext xmlns:c16="http://schemas.microsoft.com/office/drawing/2014/chart" uri="{C3380CC4-5D6E-409C-BE32-E72D297353CC}">
              <c16:uniqueId val="{00000005-B66C-492E-AD5C-E75312FFD446}"/>
            </c:ext>
          </c:extLst>
        </c:ser>
        <c:ser>
          <c:idx val="6"/>
          <c:order val="6"/>
          <c:tx>
            <c:strRef>
              <c:f>EDA!$H$106:$H$107</c:f>
              <c:strCache>
                <c:ptCount val="1"/>
                <c:pt idx="0">
                  <c:v>TUR_DT_09</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EDA!$H$108:$H$111</c:f>
              <c:numCache>
                <c:formatCode>\₺#,##0,,,"B"</c:formatCode>
                <c:ptCount val="4"/>
                <c:pt idx="0">
                  <c:v>6484633719.2316303</c:v>
                </c:pt>
                <c:pt idx="1">
                  <c:v>7141185741.4557104</c:v>
                </c:pt>
                <c:pt idx="2">
                  <c:v>4200361044.309</c:v>
                </c:pt>
                <c:pt idx="3">
                  <c:v>3666073536</c:v>
                </c:pt>
              </c:numCache>
            </c:numRef>
          </c:val>
          <c:smooth val="0"/>
          <c:extLst>
            <c:ext xmlns:c16="http://schemas.microsoft.com/office/drawing/2014/chart" uri="{C3380CC4-5D6E-409C-BE32-E72D297353CC}">
              <c16:uniqueId val="{00000006-B66C-492E-AD5C-E75312FFD446}"/>
            </c:ext>
          </c:extLst>
        </c:ser>
        <c:ser>
          <c:idx val="7"/>
          <c:order val="7"/>
          <c:tx>
            <c:strRef>
              <c:f>EDA!$I$106:$I$107</c:f>
              <c:strCache>
                <c:ptCount val="1"/>
                <c:pt idx="0">
                  <c:v>TUR_TE_02</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EDA!$I$108:$I$111</c:f>
              <c:numCache>
                <c:formatCode>\₺#,##0,,,"B"</c:formatCode>
                <c:ptCount val="4"/>
                <c:pt idx="0">
                  <c:v>2008793030.5296357</c:v>
                </c:pt>
                <c:pt idx="1">
                  <c:v>445424106.96899992</c:v>
                </c:pt>
                <c:pt idx="2">
                  <c:v>858448044</c:v>
                </c:pt>
                <c:pt idx="3">
                  <c:v>1717747000</c:v>
                </c:pt>
              </c:numCache>
            </c:numRef>
          </c:val>
          <c:smooth val="0"/>
          <c:extLst>
            <c:ext xmlns:c16="http://schemas.microsoft.com/office/drawing/2014/chart" uri="{C3380CC4-5D6E-409C-BE32-E72D297353CC}">
              <c16:uniqueId val="{00000007-B66C-492E-AD5C-E75312FFD446}"/>
            </c:ext>
          </c:extLst>
        </c:ser>
        <c:ser>
          <c:idx val="8"/>
          <c:order val="8"/>
          <c:tx>
            <c:strRef>
              <c:f>EDA!$J$106:$J$107</c:f>
              <c:strCache>
                <c:ptCount val="1"/>
                <c:pt idx="0">
                  <c:v>TUR_TE_04</c:v>
                </c:pt>
              </c:strCache>
            </c:strRef>
          </c:tx>
          <c:spPr>
            <a:ln w="28575" cap="rnd">
              <a:solidFill>
                <a:schemeClr val="accent3">
                  <a:lumMod val="60000"/>
                </a:schemeClr>
              </a:solidFill>
              <a:round/>
            </a:ln>
            <a:effectLst/>
          </c:spPr>
          <c:marker>
            <c:symbol val="none"/>
          </c:marker>
          <c:cat>
            <c:strRef>
              <c:f>EDA!$A$108:$A$111</c:f>
              <c:strCache>
                <c:ptCount val="4"/>
                <c:pt idx="0">
                  <c:v>2020</c:v>
                </c:pt>
                <c:pt idx="1">
                  <c:v>2021</c:v>
                </c:pt>
                <c:pt idx="2">
                  <c:v>2022</c:v>
                </c:pt>
                <c:pt idx="3">
                  <c:v>2023</c:v>
                </c:pt>
              </c:strCache>
            </c:strRef>
          </c:cat>
          <c:val>
            <c:numRef>
              <c:f>EDA!$J$108:$J$111</c:f>
              <c:numCache>
                <c:formatCode>\₺#,##0,,,"B"</c:formatCode>
                <c:ptCount val="4"/>
                <c:pt idx="0">
                  <c:v>2349211113.6521034</c:v>
                </c:pt>
                <c:pt idx="1">
                  <c:v>3483401764.0499992</c:v>
                </c:pt>
                <c:pt idx="2">
                  <c:v>15841710351</c:v>
                </c:pt>
                <c:pt idx="3">
                  <c:v>9595353000</c:v>
                </c:pt>
              </c:numCache>
            </c:numRef>
          </c:val>
          <c:smooth val="0"/>
          <c:extLst>
            <c:ext xmlns:c16="http://schemas.microsoft.com/office/drawing/2014/chart" uri="{C3380CC4-5D6E-409C-BE32-E72D297353CC}">
              <c16:uniqueId val="{00000008-B66C-492E-AD5C-E75312FFD446}"/>
            </c:ext>
          </c:extLst>
        </c:ser>
        <c:ser>
          <c:idx val="9"/>
          <c:order val="9"/>
          <c:tx>
            <c:strRef>
              <c:f>EDA!$K$106:$K$107</c:f>
              <c:strCache>
                <c:ptCount val="1"/>
                <c:pt idx="0">
                  <c:v>TUR_TE_05</c:v>
                </c:pt>
              </c:strCache>
            </c:strRef>
          </c:tx>
          <c:spPr>
            <a:ln w="28575" cap="rnd">
              <a:solidFill>
                <a:schemeClr val="accent4">
                  <a:lumMod val="60000"/>
                </a:schemeClr>
              </a:solidFill>
              <a:round/>
            </a:ln>
            <a:effectLst/>
          </c:spPr>
          <c:marker>
            <c:symbol val="none"/>
          </c:marker>
          <c:cat>
            <c:strRef>
              <c:f>EDA!$A$108:$A$111</c:f>
              <c:strCache>
                <c:ptCount val="4"/>
                <c:pt idx="0">
                  <c:v>2020</c:v>
                </c:pt>
                <c:pt idx="1">
                  <c:v>2021</c:v>
                </c:pt>
                <c:pt idx="2">
                  <c:v>2022</c:v>
                </c:pt>
                <c:pt idx="3">
                  <c:v>2023</c:v>
                </c:pt>
              </c:strCache>
            </c:strRef>
          </c:cat>
          <c:val>
            <c:numRef>
              <c:f>EDA!$K$108:$K$111</c:f>
              <c:numCache>
                <c:formatCode>\₺#,##0,,,"B"</c:formatCode>
                <c:ptCount val="4"/>
                <c:pt idx="0">
                  <c:v>6695361944.5161047</c:v>
                </c:pt>
                <c:pt idx="1">
                  <c:v>5598128716.150589</c:v>
                </c:pt>
                <c:pt idx="2">
                  <c:v>3249059034.3299999</c:v>
                </c:pt>
                <c:pt idx="3">
                  <c:v>2111149470</c:v>
                </c:pt>
              </c:numCache>
            </c:numRef>
          </c:val>
          <c:smooth val="0"/>
          <c:extLst>
            <c:ext xmlns:c16="http://schemas.microsoft.com/office/drawing/2014/chart" uri="{C3380CC4-5D6E-409C-BE32-E72D297353CC}">
              <c16:uniqueId val="{00000009-B66C-492E-AD5C-E75312FFD446}"/>
            </c:ext>
          </c:extLst>
        </c:ser>
        <c:ser>
          <c:idx val="10"/>
          <c:order val="10"/>
          <c:tx>
            <c:strRef>
              <c:f>EDA!$L$106:$L$107</c:f>
              <c:strCache>
                <c:ptCount val="1"/>
                <c:pt idx="0">
                  <c:v>TUR_TE_06</c:v>
                </c:pt>
              </c:strCache>
            </c:strRef>
          </c:tx>
          <c:spPr>
            <a:ln w="28575" cap="rnd">
              <a:solidFill>
                <a:schemeClr val="accent5">
                  <a:lumMod val="60000"/>
                </a:schemeClr>
              </a:solidFill>
              <a:round/>
            </a:ln>
            <a:effectLst/>
          </c:spPr>
          <c:marker>
            <c:symbol val="none"/>
          </c:marker>
          <c:cat>
            <c:strRef>
              <c:f>EDA!$A$108:$A$111</c:f>
              <c:strCache>
                <c:ptCount val="4"/>
                <c:pt idx="0">
                  <c:v>2020</c:v>
                </c:pt>
                <c:pt idx="1">
                  <c:v>2021</c:v>
                </c:pt>
                <c:pt idx="2">
                  <c:v>2022</c:v>
                </c:pt>
                <c:pt idx="3">
                  <c:v>2023</c:v>
                </c:pt>
              </c:strCache>
            </c:strRef>
          </c:cat>
          <c:val>
            <c:numRef>
              <c:f>EDA!$L$108:$L$111</c:f>
              <c:numCache>
                <c:formatCode>\₺#,##0,,,"B"</c:formatCode>
                <c:ptCount val="4"/>
                <c:pt idx="0">
                  <c:v>2231787314.8387012</c:v>
                </c:pt>
                <c:pt idx="1">
                  <c:v>1866042905.3835297</c:v>
                </c:pt>
                <c:pt idx="2">
                  <c:v>1083019678.1099999</c:v>
                </c:pt>
                <c:pt idx="3">
                  <c:v>703716490</c:v>
                </c:pt>
              </c:numCache>
            </c:numRef>
          </c:val>
          <c:smooth val="0"/>
          <c:extLst>
            <c:ext xmlns:c16="http://schemas.microsoft.com/office/drawing/2014/chart" uri="{C3380CC4-5D6E-409C-BE32-E72D297353CC}">
              <c16:uniqueId val="{0000000A-B66C-492E-AD5C-E75312FFD446}"/>
            </c:ext>
          </c:extLst>
        </c:ser>
        <c:ser>
          <c:idx val="11"/>
          <c:order val="11"/>
          <c:tx>
            <c:strRef>
              <c:f>EDA!$M$106:$M$107</c:f>
              <c:strCache>
                <c:ptCount val="1"/>
                <c:pt idx="0">
                  <c:v>TUR_TE_07</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EDA!$M$108:$M$111</c:f>
              <c:numCache>
                <c:formatCode>\₺#,##0,,,"B"</c:formatCode>
                <c:ptCount val="4"/>
                <c:pt idx="0">
                  <c:v>7112736448.0314465</c:v>
                </c:pt>
                <c:pt idx="1">
                  <c:v>10037476609.190998</c:v>
                </c:pt>
                <c:pt idx="2">
                  <c:v>7290007533</c:v>
                </c:pt>
                <c:pt idx="3">
                  <c:v>5550230000</c:v>
                </c:pt>
              </c:numCache>
            </c:numRef>
          </c:val>
          <c:smooth val="0"/>
          <c:extLst>
            <c:ext xmlns:c16="http://schemas.microsoft.com/office/drawing/2014/chart" uri="{C3380CC4-5D6E-409C-BE32-E72D297353CC}">
              <c16:uniqueId val="{0000000B-B66C-492E-AD5C-E75312FFD446}"/>
            </c:ext>
          </c:extLst>
        </c:ser>
        <c:ser>
          <c:idx val="12"/>
          <c:order val="12"/>
          <c:tx>
            <c:strRef>
              <c:f>EDA!$N$106:$N$107</c:f>
              <c:strCache>
                <c:ptCount val="1"/>
                <c:pt idx="0">
                  <c:v>TUR_TE_08</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EDA!$N$108:$N$111</c:f>
              <c:numCache>
                <c:formatCode>\₺#,##0,,,"B"</c:formatCode>
                <c:ptCount val="4"/>
                <c:pt idx="0">
                  <c:v>6695361944.5161047</c:v>
                </c:pt>
                <c:pt idx="1">
                  <c:v>5598128716.150589</c:v>
                </c:pt>
                <c:pt idx="2">
                  <c:v>3249059034.3299999</c:v>
                </c:pt>
                <c:pt idx="3">
                  <c:v>2111149470</c:v>
                </c:pt>
              </c:numCache>
            </c:numRef>
          </c:val>
          <c:smooth val="0"/>
          <c:extLst>
            <c:ext xmlns:c16="http://schemas.microsoft.com/office/drawing/2014/chart" uri="{C3380CC4-5D6E-409C-BE32-E72D297353CC}">
              <c16:uniqueId val="{0000000C-B66C-492E-AD5C-E75312FFD446}"/>
            </c:ext>
          </c:extLst>
        </c:ser>
        <c:ser>
          <c:idx val="13"/>
          <c:order val="13"/>
          <c:tx>
            <c:strRef>
              <c:f>EDA!$O$106:$O$107</c:f>
              <c:strCache>
                <c:ptCount val="1"/>
                <c:pt idx="0">
                  <c:v>TUR_TE_09</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EDA!$O$108:$O$111</c:f>
              <c:numCache>
                <c:formatCode>\₺#,##0,,,"B"</c:formatCode>
                <c:ptCount val="4"/>
                <c:pt idx="0">
                  <c:v>4463574629.6774025</c:v>
                </c:pt>
                <c:pt idx="1">
                  <c:v>3732085810.7670593</c:v>
                </c:pt>
                <c:pt idx="2">
                  <c:v>2166039356.2199998</c:v>
                </c:pt>
                <c:pt idx="3">
                  <c:v>1407432980</c:v>
                </c:pt>
              </c:numCache>
            </c:numRef>
          </c:val>
          <c:smooth val="0"/>
          <c:extLst>
            <c:ext xmlns:c16="http://schemas.microsoft.com/office/drawing/2014/chart" uri="{C3380CC4-5D6E-409C-BE32-E72D297353CC}">
              <c16:uniqueId val="{0000000D-B66C-492E-AD5C-E75312FFD446}"/>
            </c:ext>
          </c:extLst>
        </c:ser>
        <c:ser>
          <c:idx val="14"/>
          <c:order val="14"/>
          <c:tx>
            <c:strRef>
              <c:f>EDA!$P$106:$P$107</c:f>
              <c:strCache>
                <c:ptCount val="1"/>
                <c:pt idx="0">
                  <c:v>TUR_TE_10</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EDA!$P$108:$P$111</c:f>
              <c:numCache>
                <c:formatCode>\₺#,##0,,,"B"</c:formatCode>
                <c:ptCount val="4"/>
                <c:pt idx="0">
                  <c:v>2286362893.0310998</c:v>
                </c:pt>
                <c:pt idx="1">
                  <c:v>937191922.40699983</c:v>
                </c:pt>
                <c:pt idx="2">
                  <c:v>789194583</c:v>
                </c:pt>
                <c:pt idx="3">
                  <c:v>870475000</c:v>
                </c:pt>
              </c:numCache>
            </c:numRef>
          </c:val>
          <c:smooth val="0"/>
          <c:extLst>
            <c:ext xmlns:c16="http://schemas.microsoft.com/office/drawing/2014/chart" uri="{C3380CC4-5D6E-409C-BE32-E72D297353CC}">
              <c16:uniqueId val="{0000000E-B66C-492E-AD5C-E75312FFD446}"/>
            </c:ext>
          </c:extLst>
        </c:ser>
        <c:ser>
          <c:idx val="15"/>
          <c:order val="15"/>
          <c:tx>
            <c:strRef>
              <c:f>EDA!$Q$106:$Q$107</c:f>
              <c:strCache>
                <c:ptCount val="1"/>
                <c:pt idx="0">
                  <c:v>TUR_TE_11</c:v>
                </c:pt>
              </c:strCache>
            </c:strRef>
          </c:tx>
          <c:spPr>
            <a:ln w="28575" cap="rnd">
              <a:solidFill>
                <a:schemeClr val="bg1">
                  <a:lumMod val="95000"/>
                  <a:alpha val="50000"/>
                </a:schemeClr>
              </a:solidFill>
              <a:round/>
            </a:ln>
            <a:effectLst/>
          </c:spPr>
          <c:marker>
            <c:symbol val="none"/>
          </c:marker>
          <c:dPt>
            <c:idx val="1"/>
            <c:marker>
              <c:symbol val="none"/>
            </c:marker>
            <c:bubble3D val="0"/>
            <c:spPr>
              <a:ln w="28575" cap="rnd">
                <a:solidFill>
                  <a:schemeClr val="bg1">
                    <a:lumMod val="95000"/>
                  </a:schemeClr>
                </a:solidFill>
                <a:round/>
              </a:ln>
              <a:effectLst/>
            </c:spPr>
            <c:extLst>
              <c:ext xmlns:c16="http://schemas.microsoft.com/office/drawing/2014/chart" uri="{C3380CC4-5D6E-409C-BE32-E72D297353CC}">
                <c16:uniqueId val="{0000001B-B66C-492E-AD5C-E75312FFD446}"/>
              </c:ext>
            </c:extLst>
          </c:dPt>
          <c:dPt>
            <c:idx val="2"/>
            <c:marker>
              <c:symbol val="none"/>
            </c:marker>
            <c:bubble3D val="0"/>
            <c:spPr>
              <a:ln w="28575" cap="rnd">
                <a:solidFill>
                  <a:schemeClr val="bg1">
                    <a:lumMod val="95000"/>
                  </a:schemeClr>
                </a:solidFill>
                <a:round/>
              </a:ln>
              <a:effectLst/>
            </c:spPr>
            <c:extLst>
              <c:ext xmlns:c16="http://schemas.microsoft.com/office/drawing/2014/chart" uri="{C3380CC4-5D6E-409C-BE32-E72D297353CC}">
                <c16:uniqueId val="{0000001C-B66C-492E-AD5C-E75312FFD446}"/>
              </c:ext>
            </c:extLst>
          </c:dPt>
          <c:dPt>
            <c:idx val="3"/>
            <c:marker>
              <c:symbol val="none"/>
            </c:marker>
            <c:bubble3D val="0"/>
            <c:spPr>
              <a:ln w="28575" cap="rnd">
                <a:solidFill>
                  <a:schemeClr val="bg1">
                    <a:lumMod val="95000"/>
                  </a:schemeClr>
                </a:solidFill>
                <a:round/>
              </a:ln>
              <a:effectLst/>
            </c:spPr>
            <c:extLst>
              <c:ext xmlns:c16="http://schemas.microsoft.com/office/drawing/2014/chart" uri="{C3380CC4-5D6E-409C-BE32-E72D297353CC}">
                <c16:uniqueId val="{0000001D-B66C-492E-AD5C-E75312FFD446}"/>
              </c:ext>
            </c:extLst>
          </c:dPt>
          <c:cat>
            <c:strRef>
              <c:f>EDA!$A$108:$A$111</c:f>
              <c:strCache>
                <c:ptCount val="4"/>
                <c:pt idx="0">
                  <c:v>2020</c:v>
                </c:pt>
                <c:pt idx="1">
                  <c:v>2021</c:v>
                </c:pt>
                <c:pt idx="2">
                  <c:v>2022</c:v>
                </c:pt>
                <c:pt idx="3">
                  <c:v>2023</c:v>
                </c:pt>
              </c:strCache>
            </c:strRef>
          </c:cat>
          <c:val>
            <c:numRef>
              <c:f>EDA!$Q$108:$Q$111</c:f>
              <c:numCache>
                <c:formatCode>\₺#,##0,,,"B"</c:formatCode>
                <c:ptCount val="4"/>
                <c:pt idx="0">
                  <c:v>2231787314.8387012</c:v>
                </c:pt>
                <c:pt idx="1">
                  <c:v>1866042905.3835297</c:v>
                </c:pt>
                <c:pt idx="2">
                  <c:v>1083019678.1099999</c:v>
                </c:pt>
                <c:pt idx="3">
                  <c:v>703716490</c:v>
                </c:pt>
              </c:numCache>
            </c:numRef>
          </c:val>
          <c:smooth val="0"/>
          <c:extLst>
            <c:ext xmlns:c16="http://schemas.microsoft.com/office/drawing/2014/chart" uri="{C3380CC4-5D6E-409C-BE32-E72D297353CC}">
              <c16:uniqueId val="{0000000F-B66C-492E-AD5C-E75312FFD446}"/>
            </c:ext>
          </c:extLst>
        </c:ser>
        <c:ser>
          <c:idx val="16"/>
          <c:order val="16"/>
          <c:tx>
            <c:strRef>
              <c:f>EDA!$R$106:$R$107</c:f>
              <c:strCache>
                <c:ptCount val="1"/>
                <c:pt idx="0">
                  <c:v>TUR_TE_12</c:v>
                </c:pt>
              </c:strCache>
            </c:strRef>
          </c:tx>
          <c:spPr>
            <a:ln w="28575" cap="rnd">
              <a:solidFill>
                <a:schemeClr val="accent5">
                  <a:lumMod val="80000"/>
                  <a:lumOff val="20000"/>
                </a:schemeClr>
              </a:solidFill>
              <a:round/>
            </a:ln>
            <a:effectLst/>
          </c:spPr>
          <c:marker>
            <c:symbol val="none"/>
          </c:marker>
          <c:cat>
            <c:strRef>
              <c:f>EDA!$A$108:$A$111</c:f>
              <c:strCache>
                <c:ptCount val="4"/>
                <c:pt idx="0">
                  <c:v>2020</c:v>
                </c:pt>
                <c:pt idx="1">
                  <c:v>2021</c:v>
                </c:pt>
                <c:pt idx="2">
                  <c:v>2022</c:v>
                </c:pt>
                <c:pt idx="3">
                  <c:v>2023</c:v>
                </c:pt>
              </c:strCache>
            </c:strRef>
          </c:cat>
          <c:val>
            <c:numRef>
              <c:f>EDA!$R$108:$R$111</c:f>
              <c:numCache>
                <c:formatCode>\₺#,##0,,,"B"</c:formatCode>
                <c:ptCount val="4"/>
                <c:pt idx="0">
                  <c:v>26741266145.451931</c:v>
                </c:pt>
                <c:pt idx="1">
                  <c:v>19709620967.600998</c:v>
                </c:pt>
                <c:pt idx="2">
                  <c:v>10307540223</c:v>
                </c:pt>
                <c:pt idx="3">
                  <c:v>8378605000</c:v>
                </c:pt>
              </c:numCache>
            </c:numRef>
          </c:val>
          <c:smooth val="0"/>
          <c:extLst>
            <c:ext xmlns:c16="http://schemas.microsoft.com/office/drawing/2014/chart" uri="{C3380CC4-5D6E-409C-BE32-E72D297353CC}">
              <c16:uniqueId val="{00000010-B66C-492E-AD5C-E75312FFD446}"/>
            </c:ext>
          </c:extLst>
        </c:ser>
        <c:ser>
          <c:idx val="17"/>
          <c:order val="17"/>
          <c:tx>
            <c:strRef>
              <c:f>EDA!$S$106:$S$107</c:f>
              <c:strCache>
                <c:ptCount val="1"/>
                <c:pt idx="0">
                  <c:v>TUR_TE_13</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EDA!$S$108:$S$111</c:f>
              <c:numCache>
                <c:formatCode>\₺#,##0,,,"B"</c:formatCode>
                <c:ptCount val="4"/>
                <c:pt idx="0">
                  <c:v>544341007.17406785</c:v>
                </c:pt>
                <c:pt idx="1">
                  <c:v>140627447.00099999</c:v>
                </c:pt>
                <c:pt idx="2">
                  <c:v>229726530</c:v>
                </c:pt>
                <c:pt idx="3">
                  <c:v>253387000</c:v>
                </c:pt>
              </c:numCache>
            </c:numRef>
          </c:val>
          <c:smooth val="0"/>
          <c:extLst>
            <c:ext xmlns:c16="http://schemas.microsoft.com/office/drawing/2014/chart" uri="{C3380CC4-5D6E-409C-BE32-E72D297353CC}">
              <c16:uniqueId val="{00000011-B66C-492E-AD5C-E75312FFD446}"/>
            </c:ext>
          </c:extLst>
        </c:ser>
        <c:ser>
          <c:idx val="18"/>
          <c:order val="18"/>
          <c:tx>
            <c:strRef>
              <c:f>EDA!$T$106:$T$107</c:f>
              <c:strCache>
                <c:ptCount val="1"/>
                <c:pt idx="0">
                  <c:v>TUR_TE_14</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EDA!$T$108:$T$111</c:f>
              <c:numCache>
                <c:formatCode>\₺#,##0,,,"B"</c:formatCode>
                <c:ptCount val="4"/>
                <c:pt idx="0">
                  <c:v>203409152.45445597</c:v>
                </c:pt>
                <c:pt idx="1">
                  <c:v>17103445.649999999</c:v>
                </c:pt>
                <c:pt idx="2">
                  <c:v>130633398</c:v>
                </c:pt>
                <c:pt idx="3">
                  <c:v>144087000</c:v>
                </c:pt>
              </c:numCache>
            </c:numRef>
          </c:val>
          <c:smooth val="0"/>
          <c:extLst>
            <c:ext xmlns:c16="http://schemas.microsoft.com/office/drawing/2014/chart" uri="{C3380CC4-5D6E-409C-BE32-E72D297353CC}">
              <c16:uniqueId val="{00000012-B66C-492E-AD5C-E75312FFD446}"/>
            </c:ext>
          </c:extLst>
        </c:ser>
        <c:ser>
          <c:idx val="19"/>
          <c:order val="19"/>
          <c:tx>
            <c:strRef>
              <c:f>EDA!$U$106:$U$107</c:f>
              <c:strCache>
                <c:ptCount val="1"/>
                <c:pt idx="0">
                  <c:v>TUR_TE_15</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EDA!$U$108:$U$111</c:f>
              <c:numCache>
                <c:formatCode>\₺#,##0,,,"B"</c:formatCode>
                <c:ptCount val="4"/>
                <c:pt idx="0">
                  <c:v>256010483.99908796</c:v>
                </c:pt>
                <c:pt idx="1">
                  <c:v>546967918.76220894</c:v>
                </c:pt>
                <c:pt idx="2">
                  <c:v>165025275.56099999</c:v>
                </c:pt>
                <c:pt idx="3">
                  <c:v>733042895</c:v>
                </c:pt>
              </c:numCache>
            </c:numRef>
          </c:val>
          <c:smooth val="0"/>
          <c:extLst>
            <c:ext xmlns:c16="http://schemas.microsoft.com/office/drawing/2014/chart" uri="{C3380CC4-5D6E-409C-BE32-E72D297353CC}">
              <c16:uniqueId val="{00000013-B66C-492E-AD5C-E75312FFD446}"/>
            </c:ext>
          </c:extLst>
        </c:ser>
        <c:ser>
          <c:idx val="20"/>
          <c:order val="20"/>
          <c:tx>
            <c:strRef>
              <c:f>EDA!$V$106:$V$107</c:f>
              <c:strCache>
                <c:ptCount val="1"/>
                <c:pt idx="0">
                  <c:v>TUR_TE_16</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EDA!$V$108:$V$111</c:f>
              <c:numCache>
                <c:formatCode>\₺#,##0,,,"B"</c:formatCode>
                <c:ptCount val="4"/>
                <c:pt idx="0">
                  <c:v>999000.32777999982</c:v>
                </c:pt>
                <c:pt idx="1">
                  <c:v>1675018.6575659998</c:v>
                </c:pt>
                <c:pt idx="2">
                  <c:v>2166039356.2199998</c:v>
                </c:pt>
                <c:pt idx="3">
                  <c:v>1407432980</c:v>
                </c:pt>
              </c:numCache>
            </c:numRef>
          </c:val>
          <c:smooth val="0"/>
          <c:extLst>
            <c:ext xmlns:c16="http://schemas.microsoft.com/office/drawing/2014/chart" uri="{C3380CC4-5D6E-409C-BE32-E72D297353CC}">
              <c16:uniqueId val="{00000014-B66C-492E-AD5C-E75312FFD446}"/>
            </c:ext>
          </c:extLst>
        </c:ser>
        <c:ser>
          <c:idx val="21"/>
          <c:order val="21"/>
          <c:tx>
            <c:strRef>
              <c:f>EDA!$W$106:$W$107</c:f>
              <c:strCache>
                <c:ptCount val="1"/>
                <c:pt idx="0">
                  <c:v>TUR_TE_17</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EDA!$W$108:$W$111</c:f>
              <c:numCache>
                <c:formatCode>\₺#,##0,,,"B"</c:formatCode>
                <c:ptCount val="4"/>
                <c:pt idx="0">
                  <c:v>71636309.161588997</c:v>
                </c:pt>
                <c:pt idx="1">
                  <c:v>107993995.80158699</c:v>
                </c:pt>
                <c:pt idx="2">
                  <c:v>39119851.772999994</c:v>
                </c:pt>
                <c:pt idx="3">
                  <c:v>710565843</c:v>
                </c:pt>
              </c:numCache>
            </c:numRef>
          </c:val>
          <c:smooth val="0"/>
          <c:extLst>
            <c:ext xmlns:c16="http://schemas.microsoft.com/office/drawing/2014/chart" uri="{C3380CC4-5D6E-409C-BE32-E72D297353CC}">
              <c16:uniqueId val="{00000015-B66C-492E-AD5C-E75312FFD446}"/>
            </c:ext>
          </c:extLst>
        </c:ser>
        <c:ser>
          <c:idx val="22"/>
          <c:order val="22"/>
          <c:tx>
            <c:strRef>
              <c:f>EDA!$X$106:$X$107</c:f>
              <c:strCache>
                <c:ptCount val="1"/>
                <c:pt idx="0">
                  <c:v>TUR_TE_18</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EDA!$X$108:$X$111</c:f>
              <c:numCache>
                <c:formatCode>\₺#,##0,,,"B"</c:formatCode>
                <c:ptCount val="4"/>
                <c:pt idx="0">
                  <c:v>920770.6735407958</c:v>
                </c:pt>
                <c:pt idx="1">
                  <c:v>1290016.1184389999</c:v>
                </c:pt>
                <c:pt idx="2">
                  <c:v>4045730.895</c:v>
                </c:pt>
                <c:pt idx="3">
                  <c:v>705862959</c:v>
                </c:pt>
              </c:numCache>
            </c:numRef>
          </c:val>
          <c:smooth val="0"/>
          <c:extLst>
            <c:ext xmlns:c16="http://schemas.microsoft.com/office/drawing/2014/chart" uri="{C3380CC4-5D6E-409C-BE32-E72D297353CC}">
              <c16:uniqueId val="{00000016-B66C-492E-AD5C-E75312FFD446}"/>
            </c:ext>
          </c:extLst>
        </c:ser>
        <c:ser>
          <c:idx val="23"/>
          <c:order val="23"/>
          <c:tx>
            <c:strRef>
              <c:f>EDA!$Y$106:$Y$107</c:f>
              <c:strCache>
                <c:ptCount val="1"/>
                <c:pt idx="0">
                  <c:v>TUR_TE_19</c:v>
                </c:pt>
              </c:strCache>
            </c:strRef>
          </c:tx>
          <c:spPr>
            <a:ln w="28575" cap="rnd">
              <a:solidFill>
                <a:schemeClr val="accent6">
                  <a:lumMod val="80000"/>
                </a:schemeClr>
              </a:solidFill>
              <a:round/>
            </a:ln>
            <a:effectLst/>
          </c:spPr>
          <c:marker>
            <c:symbol val="none"/>
          </c:marker>
          <c:cat>
            <c:strRef>
              <c:f>EDA!$A$108:$A$111</c:f>
              <c:strCache>
                <c:ptCount val="4"/>
                <c:pt idx="0">
                  <c:v>2020</c:v>
                </c:pt>
                <c:pt idx="1">
                  <c:v>2021</c:v>
                </c:pt>
                <c:pt idx="2">
                  <c:v>2022</c:v>
                </c:pt>
                <c:pt idx="3">
                  <c:v>2023</c:v>
                </c:pt>
              </c:strCache>
            </c:strRef>
          </c:cat>
          <c:val>
            <c:numRef>
              <c:f>EDA!$Y$108:$Y$111</c:f>
              <c:numCache>
                <c:formatCode>\₺#,##0,,,"B"</c:formatCode>
                <c:ptCount val="4"/>
                <c:pt idx="0">
                  <c:v>12117553.661580585</c:v>
                </c:pt>
                <c:pt idx="1">
                  <c:v>8923374.0697319992</c:v>
                </c:pt>
                <c:pt idx="2">
                  <c:v>9021202.4699999988</c:v>
                </c:pt>
                <c:pt idx="3">
                  <c:v>4294332</c:v>
                </c:pt>
              </c:numCache>
            </c:numRef>
          </c:val>
          <c:smooth val="0"/>
          <c:extLst>
            <c:ext xmlns:c16="http://schemas.microsoft.com/office/drawing/2014/chart" uri="{C3380CC4-5D6E-409C-BE32-E72D297353CC}">
              <c16:uniqueId val="{00000017-B66C-492E-AD5C-E75312FFD446}"/>
            </c:ext>
          </c:extLst>
        </c:ser>
        <c:ser>
          <c:idx val="24"/>
          <c:order val="24"/>
          <c:tx>
            <c:strRef>
              <c:f>EDA!$Z$106:$Z$107</c:f>
              <c:strCache>
                <c:ptCount val="1"/>
                <c:pt idx="0">
                  <c:v>TUR_TE_20</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EDA!$Z$108:$Z$111</c:f>
              <c:numCache>
                <c:formatCode>\₺#,##0,,,"B"</c:formatCode>
                <c:ptCount val="4"/>
                <c:pt idx="0">
                  <c:v>35779402.882365473</c:v>
                </c:pt>
                <c:pt idx="1">
                  <c:v>46361787.739145994</c:v>
                </c:pt>
                <c:pt idx="2">
                  <c:v>55205410.517999999</c:v>
                </c:pt>
                <c:pt idx="3">
                  <c:v>66886545</c:v>
                </c:pt>
              </c:numCache>
            </c:numRef>
          </c:val>
          <c:smooth val="0"/>
          <c:extLst>
            <c:ext xmlns:c16="http://schemas.microsoft.com/office/drawing/2014/chart" uri="{C3380CC4-5D6E-409C-BE32-E72D297353CC}">
              <c16:uniqueId val="{00000018-B66C-492E-AD5C-E75312FFD446}"/>
            </c:ext>
          </c:extLst>
        </c:ser>
        <c:ser>
          <c:idx val="25"/>
          <c:order val="25"/>
          <c:tx>
            <c:strRef>
              <c:f>EDA!$AA$106:$AA$107</c:f>
              <c:strCache>
                <c:ptCount val="1"/>
                <c:pt idx="0">
                  <c:v>TUR_TE_21</c:v>
                </c:pt>
              </c:strCache>
            </c:strRef>
          </c:tx>
          <c:spPr>
            <a:ln w="28575" cap="rnd">
              <a:solidFill>
                <a:schemeClr val="bg1">
                  <a:lumMod val="95000"/>
                </a:schemeClr>
              </a:solidFill>
              <a:round/>
            </a:ln>
            <a:effectLst/>
          </c:spPr>
          <c:marker>
            <c:symbol val="none"/>
          </c:marker>
          <c:cat>
            <c:strRef>
              <c:f>EDA!$A$108:$A$111</c:f>
              <c:strCache>
                <c:ptCount val="4"/>
                <c:pt idx="0">
                  <c:v>2020</c:v>
                </c:pt>
                <c:pt idx="1">
                  <c:v>2021</c:v>
                </c:pt>
                <c:pt idx="2">
                  <c:v>2022</c:v>
                </c:pt>
                <c:pt idx="3">
                  <c:v>2023</c:v>
                </c:pt>
              </c:strCache>
            </c:strRef>
          </c:cat>
          <c:val>
            <c:numRef>
              <c:f>EDA!$AA$108:$AA$111</c:f>
              <c:numCache>
                <c:formatCode>\₺#,##0,,,"B"</c:formatCode>
                <c:ptCount val="4"/>
                <c:pt idx="0">
                  <c:v>861020.93965071579</c:v>
                </c:pt>
                <c:pt idx="1">
                  <c:v>792003.55656599987</c:v>
                </c:pt>
                <c:pt idx="2">
                  <c:v>526895.11800000002</c:v>
                </c:pt>
                <c:pt idx="3">
                  <c:v>315848</c:v>
                </c:pt>
              </c:numCache>
            </c:numRef>
          </c:val>
          <c:smooth val="0"/>
          <c:extLst>
            <c:ext xmlns:c16="http://schemas.microsoft.com/office/drawing/2014/chart" uri="{C3380CC4-5D6E-409C-BE32-E72D297353CC}">
              <c16:uniqueId val="{00000019-B66C-492E-AD5C-E75312FFD446}"/>
            </c:ext>
          </c:extLst>
        </c:ser>
        <c:dLbls>
          <c:showLegendKey val="0"/>
          <c:showVal val="0"/>
          <c:showCatName val="0"/>
          <c:showSerName val="0"/>
          <c:showPercent val="0"/>
          <c:showBubbleSize val="0"/>
        </c:dLbls>
        <c:smooth val="0"/>
        <c:axId val="1773057856"/>
        <c:axId val="1588307184"/>
      </c:lineChart>
      <c:catAx>
        <c:axId val="177305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8307184"/>
        <c:crosses val="autoZero"/>
        <c:auto val="1"/>
        <c:lblAlgn val="ctr"/>
        <c:lblOffset val="100"/>
        <c:noMultiLvlLbl val="0"/>
      </c:catAx>
      <c:valAx>
        <c:axId val="1588307184"/>
        <c:scaling>
          <c:orientation val="minMax"/>
        </c:scaling>
        <c:delete val="0"/>
        <c:axPos val="l"/>
        <c:majorGridlines>
          <c:spPr>
            <a:ln w="9525" cap="flat" cmpd="sng" algn="ctr">
              <a:solidFill>
                <a:schemeClr val="tx1">
                  <a:lumMod val="15000"/>
                  <a:lumOff val="85000"/>
                </a:schemeClr>
              </a:solidFill>
              <a:round/>
            </a:ln>
            <a:effectLst/>
          </c:spPr>
        </c:majorGridlines>
        <c:numFmt formatCode="\₺#,##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7305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[Calculated and Cleaned Turkey_FFS_Data.xlsx]EDA!PivotTable3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Breakdown by Fuel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02060"/>
          </a:solidFill>
          <a:ln>
            <a:noFill/>
          </a:ln>
          <a:effectLst/>
        </c:spPr>
        <c:marker>
          <c:symbol val="none"/>
        </c:marker>
      </c:pivotFmt>
      <c:pivotFmt>
        <c:idx val="1"/>
        <c:spPr>
          <a:noFill/>
          <a:ln>
            <a:noFill/>
          </a:ln>
          <a:effectLst/>
        </c:spPr>
        <c:marker>
          <c:symbol val="none"/>
        </c:marker>
      </c:pivotFmt>
    </c:pivotFmts>
    <c:plotArea>
      <c:layout/>
      <c:barChart>
        <c:barDir val="col"/>
        <c:grouping val="clustered"/>
        <c:varyColors val="0"/>
        <c:ser>
          <c:idx val="0"/>
          <c:order val="0"/>
          <c:tx>
            <c:strRef>
              <c:f>EDA!$B$19</c:f>
              <c:strCache>
                <c:ptCount val="1"/>
                <c:pt idx="0">
                  <c:v>Sum of Real 2023 TRY</c:v>
                </c:pt>
              </c:strCache>
            </c:strRef>
          </c:tx>
          <c:spPr>
            <a:solidFill>
              <a:srgbClr val="002060"/>
            </a:solidFill>
            <a:ln>
              <a:noFill/>
            </a:ln>
            <a:effectLst/>
          </c:spPr>
          <c:invertIfNegative val="0"/>
          <c:cat>
            <c:strRef>
              <c:f>EDA!$A$20:$A$25</c:f>
              <c:strCache>
                <c:ptCount val="5"/>
                <c:pt idx="0">
                  <c:v>Fuel</c:v>
                </c:pt>
                <c:pt idx="1">
                  <c:v>Oil</c:v>
                </c:pt>
                <c:pt idx="2">
                  <c:v>Coal</c:v>
                </c:pt>
                <c:pt idx="3">
                  <c:v>Natural Gas</c:v>
                </c:pt>
                <c:pt idx="4">
                  <c:v>General Fossil Fuel Support</c:v>
                </c:pt>
              </c:strCache>
            </c:strRef>
          </c:cat>
          <c:val>
            <c:numRef>
              <c:f>EDA!$B$20:$B$25</c:f>
              <c:numCache>
                <c:formatCode>\₺#,##0,,,"B"</c:formatCode>
                <c:ptCount val="5"/>
                <c:pt idx="0">
                  <c:v>130242700039.82054</c:v>
                </c:pt>
                <c:pt idx="1">
                  <c:v>60695653078.363441</c:v>
                </c:pt>
                <c:pt idx="2">
                  <c:v>47165982294.708923</c:v>
                </c:pt>
                <c:pt idx="3">
                  <c:v>21492254040.996338</c:v>
                </c:pt>
                <c:pt idx="4">
                  <c:v>18128454995.532021</c:v>
                </c:pt>
              </c:numCache>
            </c:numRef>
          </c:val>
          <c:extLst>
            <c:ext xmlns:c16="http://schemas.microsoft.com/office/drawing/2014/chart" uri="{C3380CC4-5D6E-409C-BE32-E72D297353CC}">
              <c16:uniqueId val="{00000000-6327-4226-92BF-204BB8C7CB3F}"/>
            </c:ext>
          </c:extLst>
        </c:ser>
        <c:ser>
          <c:idx val="1"/>
          <c:order val="1"/>
          <c:tx>
            <c:strRef>
              <c:f>EDA!$C$19</c:f>
              <c:strCache>
                <c:ptCount val="1"/>
                <c:pt idx="0">
                  <c:v>Sum of Norminal TRY</c:v>
                </c:pt>
              </c:strCache>
            </c:strRef>
          </c:tx>
          <c:spPr>
            <a:noFill/>
            <a:ln>
              <a:noFill/>
            </a:ln>
            <a:effectLst/>
          </c:spPr>
          <c:invertIfNegative val="0"/>
          <c:cat>
            <c:strRef>
              <c:f>EDA!$A$20:$A$25</c:f>
              <c:strCache>
                <c:ptCount val="5"/>
                <c:pt idx="0">
                  <c:v>Fuel</c:v>
                </c:pt>
                <c:pt idx="1">
                  <c:v>Oil</c:v>
                </c:pt>
                <c:pt idx="2">
                  <c:v>Coal</c:v>
                </c:pt>
                <c:pt idx="3">
                  <c:v>Natural Gas</c:v>
                </c:pt>
                <c:pt idx="4">
                  <c:v>General Fossil Fuel Support</c:v>
                </c:pt>
              </c:strCache>
            </c:strRef>
          </c:cat>
          <c:val>
            <c:numRef>
              <c:f>EDA!$C$20:$C$25</c:f>
              <c:numCache>
                <c:formatCode>\₺#,##0,,,"B"</c:formatCode>
                <c:ptCount val="5"/>
                <c:pt idx="0">
                  <c:v>64976957840</c:v>
                </c:pt>
                <c:pt idx="1">
                  <c:v>36019131588</c:v>
                </c:pt>
                <c:pt idx="2">
                  <c:v>22325513310</c:v>
                </c:pt>
                <c:pt idx="3">
                  <c:v>11133119118</c:v>
                </c:pt>
                <c:pt idx="4">
                  <c:v>12994186396</c:v>
                </c:pt>
              </c:numCache>
            </c:numRef>
          </c:val>
          <c:extLst>
            <c:ext xmlns:c16="http://schemas.microsoft.com/office/drawing/2014/chart" uri="{C3380CC4-5D6E-409C-BE32-E72D297353CC}">
              <c16:uniqueId val="{00000003-6327-4226-92BF-204BB8C7CB3F}"/>
            </c:ext>
          </c:extLst>
        </c:ser>
        <c:dLbls>
          <c:showLegendKey val="0"/>
          <c:showVal val="0"/>
          <c:showCatName val="0"/>
          <c:showSerName val="0"/>
          <c:showPercent val="0"/>
          <c:showBubbleSize val="0"/>
        </c:dLbls>
        <c:gapWidth val="219"/>
        <c:overlap val="-27"/>
        <c:axId val="1723219856"/>
        <c:axId val="1588221904"/>
      </c:barChart>
      <c:catAx>
        <c:axId val="172321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8221904"/>
        <c:crosses val="autoZero"/>
        <c:auto val="1"/>
        <c:lblAlgn val="ctr"/>
        <c:lblOffset val="100"/>
        <c:noMultiLvlLbl val="0"/>
      </c:catAx>
      <c:valAx>
        <c:axId val="1588221904"/>
        <c:scaling>
          <c:orientation val="minMax"/>
        </c:scaling>
        <c:delete val="0"/>
        <c:axPos val="l"/>
        <c:numFmt formatCode="\₺#,##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321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[Calculated and Cleaned Turkey_FFS_Data.xlsx]EDA!PivotTable6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money have been spent over the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070C0"/>
          </a:solidFill>
          <a:ln>
            <a:noFill/>
          </a:ln>
          <a:effectLst/>
        </c:spPr>
        <c:marker>
          <c:symbol val="none"/>
        </c:marker>
      </c:pivotFmt>
      <c:pivotFmt>
        <c:idx val="1"/>
        <c:spPr>
          <a:solidFill>
            <a:srgbClr val="002060"/>
          </a:solidFill>
          <a:ln>
            <a:noFill/>
          </a:ln>
          <a:effectLst/>
        </c:spPr>
        <c:marker>
          <c:symbol val="none"/>
        </c:marker>
      </c:pivotFmt>
    </c:pivotFmts>
    <c:plotArea>
      <c:layout/>
      <c:barChart>
        <c:barDir val="col"/>
        <c:grouping val="clustered"/>
        <c:varyColors val="0"/>
        <c:ser>
          <c:idx val="0"/>
          <c:order val="0"/>
          <c:tx>
            <c:strRef>
              <c:f>EDA!$T$21</c:f>
              <c:strCache>
                <c:ptCount val="1"/>
                <c:pt idx="0">
                  <c:v>Sum of Norminal TRY</c:v>
                </c:pt>
              </c:strCache>
            </c:strRef>
          </c:tx>
          <c:spPr>
            <a:solidFill>
              <a:srgbClr val="0070C0"/>
            </a:solidFill>
            <a:ln>
              <a:noFill/>
            </a:ln>
            <a:effectLst/>
          </c:spPr>
          <c:invertIfNegative val="0"/>
          <c:cat>
            <c:strRef>
              <c:f>EDA!$S$22:$S$26</c:f>
              <c:strCache>
                <c:ptCount val="4"/>
                <c:pt idx="0">
                  <c:v>2020</c:v>
                </c:pt>
                <c:pt idx="1">
                  <c:v>2021</c:v>
                </c:pt>
                <c:pt idx="2">
                  <c:v>2022</c:v>
                </c:pt>
                <c:pt idx="3">
                  <c:v>2023</c:v>
                </c:pt>
              </c:strCache>
            </c:strRef>
          </c:cat>
          <c:val>
            <c:numRef>
              <c:f>EDA!$T$22:$T$26</c:f>
              <c:numCache>
                <c:formatCode>\₺#,##0,,,"B"</c:formatCode>
                <c:ptCount val="4"/>
                <c:pt idx="0">
                  <c:v>27846709056</c:v>
                </c:pt>
                <c:pt idx="1">
                  <c:v>29018209352</c:v>
                </c:pt>
                <c:pt idx="2">
                  <c:v>40593095036</c:v>
                </c:pt>
                <c:pt idx="3">
                  <c:v>49990894808</c:v>
                </c:pt>
              </c:numCache>
            </c:numRef>
          </c:val>
          <c:extLst>
            <c:ext xmlns:c16="http://schemas.microsoft.com/office/drawing/2014/chart" uri="{C3380CC4-5D6E-409C-BE32-E72D297353CC}">
              <c16:uniqueId val="{00000000-5513-4464-996C-88D80D12E812}"/>
            </c:ext>
          </c:extLst>
        </c:ser>
        <c:ser>
          <c:idx val="1"/>
          <c:order val="1"/>
          <c:tx>
            <c:strRef>
              <c:f>EDA!$U$21</c:f>
              <c:strCache>
                <c:ptCount val="1"/>
                <c:pt idx="0">
                  <c:v>Sum of Real 2023 TRY</c:v>
                </c:pt>
              </c:strCache>
            </c:strRef>
          </c:tx>
          <c:spPr>
            <a:solidFill>
              <a:srgbClr val="002060"/>
            </a:solidFill>
            <a:ln>
              <a:noFill/>
            </a:ln>
            <a:effectLst/>
          </c:spPr>
          <c:invertIfNegative val="0"/>
          <c:cat>
            <c:strRef>
              <c:f>EDA!$S$22:$S$26</c:f>
              <c:strCache>
                <c:ptCount val="4"/>
                <c:pt idx="0">
                  <c:v>2020</c:v>
                </c:pt>
                <c:pt idx="1">
                  <c:v>2021</c:v>
                </c:pt>
                <c:pt idx="2">
                  <c:v>2022</c:v>
                </c:pt>
                <c:pt idx="3">
                  <c:v>2023</c:v>
                </c:pt>
              </c:strCache>
            </c:strRef>
          </c:cat>
          <c:val>
            <c:numRef>
              <c:f>EDA!$U$22:$U$26</c:f>
              <c:numCache>
                <c:formatCode>\₺#,##0,,,"B"</c:formatCode>
                <c:ptCount val="4"/>
                <c:pt idx="0">
                  <c:v>88313877696.946915</c:v>
                </c:pt>
                <c:pt idx="1">
                  <c:v>76947498684.070328</c:v>
                </c:pt>
                <c:pt idx="2">
                  <c:v>62472773260.403999</c:v>
                </c:pt>
                <c:pt idx="3">
                  <c:v>49990894808</c:v>
                </c:pt>
              </c:numCache>
            </c:numRef>
          </c:val>
          <c:extLst>
            <c:ext xmlns:c16="http://schemas.microsoft.com/office/drawing/2014/chart" uri="{C3380CC4-5D6E-409C-BE32-E72D297353CC}">
              <c16:uniqueId val="{00000001-5513-4464-996C-88D80D12E812}"/>
            </c:ext>
          </c:extLst>
        </c:ser>
        <c:dLbls>
          <c:showLegendKey val="0"/>
          <c:showVal val="0"/>
          <c:showCatName val="0"/>
          <c:showSerName val="0"/>
          <c:showPercent val="0"/>
          <c:showBubbleSize val="0"/>
        </c:dLbls>
        <c:gapWidth val="219"/>
        <c:overlap val="-27"/>
        <c:axId val="1581470384"/>
        <c:axId val="1588232720"/>
      </c:barChart>
      <c:catAx>
        <c:axId val="158147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8232720"/>
        <c:crosses val="autoZero"/>
        <c:auto val="1"/>
        <c:lblAlgn val="ctr"/>
        <c:lblOffset val="100"/>
        <c:noMultiLvlLbl val="0"/>
      </c:catAx>
      <c:valAx>
        <c:axId val="1588232720"/>
        <c:scaling>
          <c:orientation val="minMax"/>
        </c:scaling>
        <c:delete val="0"/>
        <c:axPos val="l"/>
        <c:numFmt formatCode="\₺#,##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147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barChart>
        <c:barDir val="col"/>
        <c:grouping val="clustered"/>
        <c:varyColors val="0"/>
        <c:ser>
          <c:idx val="0"/>
          <c:order val="0"/>
          <c:tx>
            <c:v>Sum of Real 2023 TRY</c:v>
          </c:tx>
          <c:spPr>
            <a:solidFill>
              <a:srgbClr val="002060"/>
            </a:solidFill>
            <a:ln>
              <a:noFill/>
            </a:ln>
            <a:effectLst/>
          </c:spPr>
          <c:invertIfNegative val="0"/>
          <c:cat>
            <c:strLit>
              <c:ptCount val="10"/>
              <c:pt idx="0">
                <c:v>Fuel Tax Exemption for Naphta, Petroleum Coke and Petroleum Bitumen</c:v>
              </c:pt>
              <c:pt idx="1">
                <c:v>Tax Exemption for Oil and Gas Exploration and Transportation</c:v>
              </c:pt>
              <c:pt idx="2">
                <c:v>Fuel Tax Exemption for Domestic Commercial Aviation</c:v>
              </c:pt>
              <c:pt idx="3">
                <c:v>Construction of Coal Thermal Plants</c:v>
              </c:pt>
              <c:pt idx="4">
                <c:v>Capacity mechanism payments for Natural Gas</c:v>
              </c:pt>
              <c:pt idx="5">
                <c:v>Tax Exemption for the Transportation and Distribution of Oil and Gas</c:v>
              </c:pt>
              <c:pt idx="6">
                <c:v>Fuel Tax Exemption for Vehicles Used for National Security</c:v>
              </c:pt>
              <c:pt idx="7">
                <c:v>Aid to the Hard Coal Industry</c:v>
              </c:pt>
              <c:pt idx="8">
                <c:v>Fuel Tax Exemption for Fuel Oil and Diesel Used for Electricity Generation</c:v>
              </c:pt>
              <c:pt idx="9">
                <c:v>Coal Aid to Poor Families (source: Treasury)</c:v>
              </c:pt>
            </c:strLit>
          </c:cat>
          <c:val>
            <c:numLit>
              <c:formatCode>General</c:formatCode>
              <c:ptCount val="10"/>
              <c:pt idx="0">
                <c:v>65137032336.052933</c:v>
              </c:pt>
              <c:pt idx="1">
                <c:v>31269676228.702103</c:v>
              </c:pt>
              <c:pt idx="2">
                <c:v>29990450590.222443</c:v>
              </c:pt>
              <c:pt idx="3">
                <c:v>23538265553.328922</c:v>
              </c:pt>
              <c:pt idx="4">
                <c:v>21492254040.996338</c:v>
              </c:pt>
              <c:pt idx="5">
                <c:v>17653699164.996696</c:v>
              </c:pt>
              <c:pt idx="6">
                <c:v>17653699164.996696</c:v>
              </c:pt>
              <c:pt idx="7">
                <c:v>12450622897.999998</c:v>
              </c:pt>
              <c:pt idx="8">
                <c:v>11769132776.664461</c:v>
              </c:pt>
              <c:pt idx="9">
                <c:v>11177093843.379999</c:v>
              </c:pt>
            </c:numLit>
          </c:val>
          <c:extLst>
            <c:ext xmlns:c16="http://schemas.microsoft.com/office/drawing/2014/chart" uri="{C3380CC4-5D6E-409C-BE32-E72D297353CC}">
              <c16:uniqueId val="{00000000-65AC-4411-B695-8743D0064BF7}"/>
            </c:ext>
          </c:extLst>
        </c:ser>
        <c:ser>
          <c:idx val="1"/>
          <c:order val="1"/>
          <c:tx>
            <c:v>Sum of Real 2023 TRY2</c:v>
          </c:tx>
          <c:spPr>
            <a:solidFill>
              <a:schemeClr val="accent2"/>
            </a:solidFill>
            <a:ln>
              <a:noFill/>
            </a:ln>
            <a:effectLst/>
          </c:spPr>
          <c:invertIfNegative val="0"/>
          <c:cat>
            <c:strLit>
              <c:ptCount val="10"/>
              <c:pt idx="0">
                <c:v>Fuel Tax Exemption for Naphta, Petroleum Coke and Petroleum Bitumen</c:v>
              </c:pt>
              <c:pt idx="1">
                <c:v>Tax Exemption for Oil and Gas Exploration and Transportation</c:v>
              </c:pt>
              <c:pt idx="2">
                <c:v>Fuel Tax Exemption for Domestic Commercial Aviation</c:v>
              </c:pt>
              <c:pt idx="3">
                <c:v>Construction of Coal Thermal Plants</c:v>
              </c:pt>
              <c:pt idx="4">
                <c:v>Capacity mechanism payments for Natural Gas</c:v>
              </c:pt>
              <c:pt idx="5">
                <c:v>Tax Exemption for the Transportation and Distribution of Oil and Gas</c:v>
              </c:pt>
              <c:pt idx="6">
                <c:v>Fuel Tax Exemption for Vehicles Used for National Security</c:v>
              </c:pt>
              <c:pt idx="7">
                <c:v>Aid to the Hard Coal Industry</c:v>
              </c:pt>
              <c:pt idx="8">
                <c:v>Fuel Tax Exemption for Fuel Oil and Diesel Used for Electricity Generation</c:v>
              </c:pt>
              <c:pt idx="9">
                <c:v>Coal Aid to Poor Families (source: Treasury)</c:v>
              </c:pt>
            </c:strLit>
          </c:cat>
          <c:val>
            <c:numLit>
              <c:formatCode>General</c:formatCode>
              <c:ptCount val="10"/>
              <c:pt idx="0">
                <c:v>0.26901463698496153</c:v>
              </c:pt>
              <c:pt idx="1">
                <c:v>0.12914313559608684</c:v>
              </c:pt>
              <c:pt idx="2">
                <c:v>0.12385995936874455</c:v>
              </c:pt>
              <c:pt idx="3">
                <c:v>9.721256458869415E-2</c:v>
              </c:pt>
              <c:pt idx="4">
                <c:v>8.8762578083052324E-2</c:v>
              </c:pt>
              <c:pt idx="5">
                <c:v>7.290942344152064E-2</c:v>
              </c:pt>
              <c:pt idx="6">
                <c:v>7.290942344152064E-2</c:v>
              </c:pt>
              <c:pt idx="7">
                <c:v>5.1420822825670058E-2</c:v>
              </c:pt>
              <c:pt idx="8">
                <c:v>4.8606282294347075E-2</c:v>
              </c:pt>
              <c:pt idx="9">
                <c:v>4.6161173375402209E-2</c:v>
              </c:pt>
            </c:numLit>
          </c:val>
          <c:extLst>
            <c:ext xmlns:c16="http://schemas.microsoft.com/office/drawing/2014/chart" uri="{C3380CC4-5D6E-409C-BE32-E72D297353CC}">
              <c16:uniqueId val="{00000001-65AC-4411-B695-8743D0064BF7}"/>
            </c:ext>
          </c:extLst>
        </c:ser>
        <c:dLbls>
          <c:showLegendKey val="0"/>
          <c:showVal val="0"/>
          <c:showCatName val="0"/>
          <c:showSerName val="0"/>
          <c:showPercent val="0"/>
          <c:showBubbleSize val="0"/>
        </c:dLbls>
        <c:gapWidth val="219"/>
        <c:overlap val="-27"/>
        <c:axId val="1277724815"/>
        <c:axId val="1180397663"/>
      </c:barChart>
      <c:lineChart>
        <c:grouping val="standard"/>
        <c:varyColors val="0"/>
        <c:ser>
          <c:idx val="2"/>
          <c:order val="2"/>
          <c:tx>
            <c:v>Sum of Real 2023 TRY3</c:v>
          </c:tx>
          <c:spPr>
            <a:ln w="28575" cap="rnd">
              <a:solidFill>
                <a:schemeClr val="accent3"/>
              </a:solidFill>
              <a:round/>
            </a:ln>
            <a:effectLst/>
          </c:spPr>
          <c:marker>
            <c:symbol val="none"/>
          </c:marker>
          <c:cat>
            <c:strLit>
              <c:ptCount val="10"/>
              <c:pt idx="0">
                <c:v>Fuel Tax Exemption for Naphta, Petroleum Coke and Petroleum Bitumen</c:v>
              </c:pt>
              <c:pt idx="1">
                <c:v>Tax Exemption for Oil and Gas Exploration and Transportation</c:v>
              </c:pt>
              <c:pt idx="2">
                <c:v>Fuel Tax Exemption for Domestic Commercial Aviation</c:v>
              </c:pt>
              <c:pt idx="3">
                <c:v>Construction of Coal Thermal Plants</c:v>
              </c:pt>
              <c:pt idx="4">
                <c:v>Capacity mechanism payments for Natural Gas</c:v>
              </c:pt>
              <c:pt idx="5">
                <c:v>Tax Exemption for the Transportation and Distribution of Oil and Gas</c:v>
              </c:pt>
              <c:pt idx="6">
                <c:v>Fuel Tax Exemption for Vehicles Used for National Security</c:v>
              </c:pt>
              <c:pt idx="7">
                <c:v>Aid to the Hard Coal Industry</c:v>
              </c:pt>
              <c:pt idx="8">
                <c:v>Fuel Tax Exemption for Fuel Oil and Diesel Used for Electricity Generation</c:v>
              </c:pt>
              <c:pt idx="9">
                <c:v>Coal Aid to Poor Families (source: Treasury)</c:v>
              </c:pt>
            </c:strLit>
          </c:cat>
          <c:val>
            <c:numLit>
              <c:formatCode>General</c:formatCode>
              <c:ptCount val="10"/>
              <c:pt idx="0">
                <c:v>0.26901463698496153</c:v>
              </c:pt>
              <c:pt idx="1">
                <c:v>0.3981577725810484</c:v>
              </c:pt>
              <c:pt idx="2">
                <c:v>0.52201773194979295</c:v>
              </c:pt>
              <c:pt idx="3">
                <c:v>0.61923029653848705</c:v>
              </c:pt>
              <c:pt idx="4">
                <c:v>0.70799287462153948</c:v>
              </c:pt>
              <c:pt idx="5">
                <c:v>0.78090229806306011</c:v>
              </c:pt>
              <c:pt idx="6">
                <c:v>0.85381172150458073</c:v>
              </c:pt>
              <c:pt idx="7">
                <c:v>0.9052325443302508</c:v>
              </c:pt>
              <c:pt idx="8">
                <c:v>0.95383882662459785</c:v>
              </c:pt>
              <c:pt idx="9">
                <c:v>1.0000000000000002</c:v>
              </c:pt>
            </c:numLit>
          </c:val>
          <c:smooth val="0"/>
          <c:extLst>
            <c:ext xmlns:c16="http://schemas.microsoft.com/office/drawing/2014/chart" uri="{C3380CC4-5D6E-409C-BE32-E72D297353CC}">
              <c16:uniqueId val="{00000002-65AC-4411-B695-8743D0064BF7}"/>
            </c:ext>
          </c:extLst>
        </c:ser>
        <c:dLbls>
          <c:showLegendKey val="0"/>
          <c:showVal val="0"/>
          <c:showCatName val="0"/>
          <c:showSerName val="0"/>
          <c:showPercent val="0"/>
          <c:showBubbleSize val="0"/>
        </c:dLbls>
        <c:marker val="1"/>
        <c:smooth val="0"/>
        <c:axId val="1277752015"/>
        <c:axId val="1180385183"/>
      </c:lineChart>
      <c:catAx>
        <c:axId val="127772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80397663"/>
        <c:crosses val="autoZero"/>
        <c:auto val="1"/>
        <c:lblAlgn val="ctr"/>
        <c:lblOffset val="100"/>
        <c:noMultiLvlLbl val="0"/>
      </c:catAx>
      <c:valAx>
        <c:axId val="1180397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7724815"/>
        <c:crosses val="autoZero"/>
        <c:crossBetween val="between"/>
      </c:valAx>
      <c:valAx>
        <c:axId val="11803851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7752015"/>
        <c:crosses val="max"/>
        <c:crossBetween val="between"/>
      </c:valAx>
      <c:catAx>
        <c:axId val="1277752015"/>
        <c:scaling>
          <c:orientation val="minMax"/>
        </c:scaling>
        <c:delete val="1"/>
        <c:axPos val="b"/>
        <c:numFmt formatCode="General" sourceLinked="1"/>
        <c:majorTickMark val="out"/>
        <c:minorTickMark val="none"/>
        <c:tickLblPos val="nextTo"/>
        <c:crossAx val="11803851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[Calculated and Cleaned Turkey_FFS_Data.xlsx]Advanced 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type by Support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070C0"/>
          </a:solidFill>
          <a:ln>
            <a:noFill/>
          </a:ln>
          <a:effectLst/>
        </c:spPr>
        <c:marker>
          <c:symbol val="none"/>
        </c:marker>
      </c:pivotFmt>
      <c:pivotFmt>
        <c:idx val="1"/>
        <c:spPr>
          <a:solidFill>
            <a:srgbClr val="002060"/>
          </a:solidFill>
          <a:ln>
            <a:noFill/>
          </a:ln>
          <a:effectLst/>
        </c:spPr>
        <c:marker>
          <c:symbol val="none"/>
        </c:marker>
      </c:pivotFmt>
    </c:pivotFmts>
    <c:plotArea>
      <c:layout/>
      <c:barChart>
        <c:barDir val="bar"/>
        <c:grouping val="clustered"/>
        <c:varyColors val="0"/>
        <c:ser>
          <c:idx val="0"/>
          <c:order val="0"/>
          <c:tx>
            <c:strRef>
              <c:f>'Advanced Analysis'!$B$41:$B$42</c:f>
              <c:strCache>
                <c:ptCount val="1"/>
                <c:pt idx="0">
                  <c:v>Other Support Type</c:v>
                </c:pt>
              </c:strCache>
            </c:strRef>
          </c:tx>
          <c:spPr>
            <a:solidFill>
              <a:srgbClr val="0070C0"/>
            </a:solidFill>
            <a:ln>
              <a:noFill/>
            </a:ln>
            <a:effectLst/>
          </c:spPr>
          <c:invertIfNegative val="0"/>
          <c:cat>
            <c:strRef>
              <c:f>'Advanced Analysis'!$A$43:$A$47</c:f>
              <c:strCache>
                <c:ptCount val="5"/>
                <c:pt idx="0">
                  <c:v>General Fossil Fuel Support</c:v>
                </c:pt>
                <c:pt idx="1">
                  <c:v>Natural Gas</c:v>
                </c:pt>
                <c:pt idx="2">
                  <c:v>Coal</c:v>
                </c:pt>
                <c:pt idx="3">
                  <c:v>Oil</c:v>
                </c:pt>
                <c:pt idx="4">
                  <c:v>Fuel</c:v>
                </c:pt>
              </c:strCache>
            </c:strRef>
          </c:cat>
          <c:val>
            <c:numRef>
              <c:f>'Advanced Analysis'!$B$43:$B$47</c:f>
              <c:numCache>
                <c:formatCode>"₺"#,##0.0,,,"B"</c:formatCode>
                <c:ptCount val="5"/>
                <c:pt idx="0">
                  <c:v>4799282.6701394189</c:v>
                </c:pt>
                <c:pt idx="1">
                  <c:v>21492254040.996338</c:v>
                </c:pt>
                <c:pt idx="2">
                  <c:v>47165982294.708923</c:v>
                </c:pt>
                <c:pt idx="3">
                  <c:v>3144908.0001820754</c:v>
                </c:pt>
              </c:numCache>
            </c:numRef>
          </c:val>
          <c:extLst>
            <c:ext xmlns:c16="http://schemas.microsoft.com/office/drawing/2014/chart" uri="{C3380CC4-5D6E-409C-BE32-E72D297353CC}">
              <c16:uniqueId val="{00000000-F64D-45B9-ACA4-74311D377EDA}"/>
            </c:ext>
          </c:extLst>
        </c:ser>
        <c:ser>
          <c:idx val="1"/>
          <c:order val="1"/>
          <c:tx>
            <c:strRef>
              <c:f>'Advanced Analysis'!$C$41:$C$42</c:f>
              <c:strCache>
                <c:ptCount val="1"/>
                <c:pt idx="0">
                  <c:v>Tax Relief</c:v>
                </c:pt>
              </c:strCache>
            </c:strRef>
          </c:tx>
          <c:spPr>
            <a:solidFill>
              <a:srgbClr val="002060"/>
            </a:solidFill>
            <a:ln>
              <a:noFill/>
            </a:ln>
            <a:effectLst/>
          </c:spPr>
          <c:invertIfNegative val="0"/>
          <c:cat>
            <c:strRef>
              <c:f>'Advanced Analysis'!$A$43:$A$47</c:f>
              <c:strCache>
                <c:ptCount val="5"/>
                <c:pt idx="0">
                  <c:v>General Fossil Fuel Support</c:v>
                </c:pt>
                <c:pt idx="1">
                  <c:v>Natural Gas</c:v>
                </c:pt>
                <c:pt idx="2">
                  <c:v>Coal</c:v>
                </c:pt>
                <c:pt idx="3">
                  <c:v>Oil</c:v>
                </c:pt>
                <c:pt idx="4">
                  <c:v>Fuel</c:v>
                </c:pt>
              </c:strCache>
            </c:strRef>
          </c:cat>
          <c:val>
            <c:numRef>
              <c:f>'Advanced Analysis'!$C$43:$C$47</c:f>
              <c:numCache>
                <c:formatCode>"₺"#,##0.0,,,"B"</c:formatCode>
                <c:ptCount val="5"/>
                <c:pt idx="0">
                  <c:v>18123655712.861885</c:v>
                </c:pt>
                <c:pt idx="3">
                  <c:v>60692508170.363258</c:v>
                </c:pt>
                <c:pt idx="4">
                  <c:v>130242700039.82054</c:v>
                </c:pt>
              </c:numCache>
            </c:numRef>
          </c:val>
          <c:extLst>
            <c:ext xmlns:c16="http://schemas.microsoft.com/office/drawing/2014/chart" uri="{C3380CC4-5D6E-409C-BE32-E72D297353CC}">
              <c16:uniqueId val="{00000001-F64D-45B9-ACA4-74311D377EDA}"/>
            </c:ext>
          </c:extLst>
        </c:ser>
        <c:dLbls>
          <c:showLegendKey val="0"/>
          <c:showVal val="0"/>
          <c:showCatName val="0"/>
          <c:showSerName val="0"/>
          <c:showPercent val="0"/>
          <c:showBubbleSize val="0"/>
        </c:dLbls>
        <c:gapWidth val="96"/>
        <c:overlap val="44"/>
        <c:axId val="1784400928"/>
        <c:axId val="1587519024"/>
      </c:barChart>
      <c:catAx>
        <c:axId val="178440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7519024"/>
        <c:crosses val="autoZero"/>
        <c:auto val="1"/>
        <c:lblAlgn val="ctr"/>
        <c:lblOffset val="100"/>
        <c:noMultiLvlLbl val="0"/>
      </c:catAx>
      <c:valAx>
        <c:axId val="1587519024"/>
        <c:scaling>
          <c:orientation val="minMax"/>
        </c:scaling>
        <c:delete val="0"/>
        <c:axPos val="b"/>
        <c:numFmt formatCode="&quot;₺&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440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[Calculated and Cleaned Turkey_FFS_Data.xlsx]EDA!PivotTable2</c:name>
    <c:fmtId val="3"/>
  </c:pivotSource>
  <c:chart>
    <c:autoTitleDeleted val="0"/>
    <c:pivotFmts>
      <c:pivotFmt>
        <c:idx val="0"/>
        <c:spPr>
          <a:solidFill>
            <a:schemeClr val="tx2">
              <a:lumMod val="75000"/>
              <a:lumOff val="25000"/>
            </a:schemeClr>
          </a:solidFill>
          <a:ln>
            <a:noFill/>
          </a:ln>
          <a:effectLst/>
        </c:spPr>
        <c:marker>
          <c:symbol val="none"/>
        </c:marker>
      </c:pivotFmt>
      <c:pivotFmt>
        <c:idx val="1"/>
        <c:spPr>
          <a:solidFill>
            <a:srgbClr val="002060"/>
          </a:solidFill>
          <a:ln>
            <a:noFill/>
          </a:ln>
          <a:effectLst/>
        </c:spPr>
        <c:marker>
          <c:symbol val="none"/>
        </c:marker>
      </c:pivotFmt>
      <c:pivotFmt>
        <c:idx val="2"/>
        <c:spPr>
          <a:solidFill>
            <a:schemeClr val="tx2">
              <a:lumMod val="75000"/>
              <a:lumOff val="25000"/>
            </a:schemeClr>
          </a:solidFill>
          <a:ln>
            <a:noFill/>
          </a:ln>
          <a:effectLst/>
        </c:spPr>
        <c:marker>
          <c:symbol val="none"/>
        </c:marker>
      </c:pivotFmt>
      <c:pivotFmt>
        <c:idx val="3"/>
        <c:spPr>
          <a:solidFill>
            <a:srgbClr val="002060"/>
          </a:solidFill>
          <a:ln>
            <a:noFill/>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EDA!$B$3</c:f>
              <c:strCache>
                <c:ptCount val="1"/>
                <c:pt idx="0">
                  <c:v>Sum of Norminal TRY</c:v>
                </c:pt>
              </c:strCache>
            </c:strRef>
          </c:tx>
          <c:spPr>
            <a:ln w="28575" cap="rnd">
              <a:solidFill>
                <a:schemeClr val="accent1"/>
              </a:solidFill>
              <a:round/>
            </a:ln>
            <a:effectLst/>
          </c:spPr>
          <c:marker>
            <c:symbol val="none"/>
          </c:marker>
          <c:cat>
            <c:strRef>
              <c:f>EDA!$A$4:$A$8</c:f>
              <c:strCache>
                <c:ptCount val="4"/>
                <c:pt idx="0">
                  <c:v>2020</c:v>
                </c:pt>
                <c:pt idx="1">
                  <c:v>2021</c:v>
                </c:pt>
                <c:pt idx="2">
                  <c:v>2022</c:v>
                </c:pt>
                <c:pt idx="3">
                  <c:v>2023</c:v>
                </c:pt>
              </c:strCache>
            </c:strRef>
          </c:cat>
          <c:val>
            <c:numRef>
              <c:f>EDA!$B$4:$B$8</c:f>
              <c:numCache>
                <c:formatCode>\₺#,##0,,,"B"</c:formatCode>
                <c:ptCount val="4"/>
                <c:pt idx="0">
                  <c:v>27846709056</c:v>
                </c:pt>
                <c:pt idx="1">
                  <c:v>29018209352</c:v>
                </c:pt>
                <c:pt idx="2">
                  <c:v>40593095036</c:v>
                </c:pt>
                <c:pt idx="3">
                  <c:v>49990894808</c:v>
                </c:pt>
              </c:numCache>
            </c:numRef>
          </c:val>
          <c:smooth val="0"/>
          <c:extLst>
            <c:ext xmlns:c16="http://schemas.microsoft.com/office/drawing/2014/chart" uri="{C3380CC4-5D6E-409C-BE32-E72D297353CC}">
              <c16:uniqueId val="{00000000-CF77-4106-A64C-F1BC427411FC}"/>
            </c:ext>
          </c:extLst>
        </c:ser>
        <c:ser>
          <c:idx val="1"/>
          <c:order val="1"/>
          <c:tx>
            <c:strRef>
              <c:f>EDA!$C$3</c:f>
              <c:strCache>
                <c:ptCount val="1"/>
                <c:pt idx="0">
                  <c:v>Sum of Real 2023 TRY</c:v>
                </c:pt>
              </c:strCache>
            </c:strRef>
          </c:tx>
          <c:spPr>
            <a:ln w="28575" cap="rnd">
              <a:solidFill>
                <a:schemeClr val="accent2"/>
              </a:solidFill>
              <a:round/>
            </a:ln>
            <a:effectLst/>
          </c:spPr>
          <c:marker>
            <c:symbol val="none"/>
          </c:marker>
          <c:cat>
            <c:strRef>
              <c:f>EDA!$A$4:$A$8</c:f>
              <c:strCache>
                <c:ptCount val="4"/>
                <c:pt idx="0">
                  <c:v>2020</c:v>
                </c:pt>
                <c:pt idx="1">
                  <c:v>2021</c:v>
                </c:pt>
                <c:pt idx="2">
                  <c:v>2022</c:v>
                </c:pt>
                <c:pt idx="3">
                  <c:v>2023</c:v>
                </c:pt>
              </c:strCache>
            </c:strRef>
          </c:cat>
          <c:val>
            <c:numRef>
              <c:f>EDA!$C$4:$C$8</c:f>
              <c:numCache>
                <c:formatCode>\₺#,##0,,,"B"</c:formatCode>
                <c:ptCount val="4"/>
                <c:pt idx="0">
                  <c:v>88313877696.946915</c:v>
                </c:pt>
                <c:pt idx="1">
                  <c:v>76947498684.070328</c:v>
                </c:pt>
                <c:pt idx="2">
                  <c:v>62472773260.403999</c:v>
                </c:pt>
                <c:pt idx="3">
                  <c:v>49990894808</c:v>
                </c:pt>
              </c:numCache>
            </c:numRef>
          </c:val>
          <c:smooth val="0"/>
          <c:extLst>
            <c:ext xmlns:c16="http://schemas.microsoft.com/office/drawing/2014/chart" uri="{C3380CC4-5D6E-409C-BE32-E72D297353CC}">
              <c16:uniqueId val="{00000001-CF77-4106-A64C-F1BC427411FC}"/>
            </c:ext>
          </c:extLst>
        </c:ser>
        <c:dLbls>
          <c:showLegendKey val="0"/>
          <c:showVal val="0"/>
          <c:showCatName val="0"/>
          <c:showSerName val="0"/>
          <c:showPercent val="0"/>
          <c:showBubbleSize val="0"/>
        </c:dLbls>
        <c:smooth val="0"/>
        <c:axId val="1412494927"/>
        <c:axId val="1693544783"/>
      </c:lineChart>
      <c:catAx>
        <c:axId val="141249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3544783"/>
        <c:crosses val="autoZero"/>
        <c:auto val="1"/>
        <c:lblAlgn val="ctr"/>
        <c:lblOffset val="100"/>
        <c:noMultiLvlLbl val="0"/>
      </c:catAx>
      <c:valAx>
        <c:axId val="1693544783"/>
        <c:scaling>
          <c:orientation val="minMax"/>
        </c:scaling>
        <c:delete val="0"/>
        <c:axPos val="l"/>
        <c:numFmt formatCode="\₺#,##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249492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[Calculated and Cleaned Turkey_FFS_Data.xlsx]EDA!PivotTable3</c:name>
    <c:fmtId val="4"/>
  </c:pivotSource>
  <c:chart>
    <c:autoTitleDeleted val="0"/>
    <c:pivotFmts>
      <c:pivotFmt>
        <c:idx val="0"/>
        <c:spPr>
          <a:solidFill>
            <a:srgbClr val="002060"/>
          </a:solidFill>
          <a:ln>
            <a:noFill/>
          </a:ln>
          <a:effectLst/>
        </c:spPr>
        <c:marker>
          <c:symbol val="none"/>
        </c:marker>
      </c:pivotFmt>
      <c:pivotFmt>
        <c:idx val="1"/>
        <c:spPr>
          <a:solidFill>
            <a:schemeClr val="tx2">
              <a:lumMod val="75000"/>
              <a:lumOff val="25000"/>
            </a:schemeClr>
          </a:solidFill>
          <a:ln>
            <a:noFill/>
          </a:ln>
          <a:effectLst/>
        </c:spPr>
        <c:marker>
          <c:symbol val="none"/>
        </c:marker>
      </c:pivotFmt>
      <c:pivotFmt>
        <c:idx val="2"/>
        <c:spPr>
          <a:solidFill>
            <a:srgbClr val="002060"/>
          </a:solidFill>
          <a:ln>
            <a:noFill/>
          </a:ln>
          <a:effectLst/>
        </c:spPr>
        <c:marker>
          <c:symbol val="none"/>
        </c:marker>
      </c:pivotFmt>
      <c:pivotFmt>
        <c:idx val="3"/>
        <c:spPr>
          <a:solidFill>
            <a:schemeClr val="tx2">
              <a:lumMod val="75000"/>
              <a:lumOff val="25000"/>
            </a:schemeClr>
          </a:solidFill>
          <a:ln>
            <a:noFill/>
          </a:ln>
          <a:effectLst/>
        </c:spPr>
        <c:marker>
          <c:symbol val="none"/>
        </c:marker>
      </c:pivotFmt>
      <c:pivotFmt>
        <c:idx val="4"/>
        <c:spPr>
          <a:solidFill>
            <a:srgbClr val="002060"/>
          </a:solidFill>
          <a:ln>
            <a:noFill/>
          </a:ln>
          <a:effectLst/>
        </c:spPr>
        <c:marker>
          <c:symbol val="none"/>
        </c:marker>
      </c:pivotFmt>
      <c:pivotFmt>
        <c:idx val="5"/>
        <c:spPr>
          <a:solidFill>
            <a:schemeClr val="tx2">
              <a:lumMod val="75000"/>
              <a:lumOff val="25000"/>
            </a:schemeClr>
          </a:solidFill>
          <a:ln>
            <a:noFill/>
          </a:ln>
          <a:effectLst/>
        </c:spPr>
        <c:marker>
          <c:symbol val="none"/>
        </c:marker>
      </c:pivotFmt>
    </c:pivotFmts>
    <c:plotArea>
      <c:layout>
        <c:manualLayout>
          <c:layoutTarget val="inner"/>
          <c:xMode val="edge"/>
          <c:yMode val="edge"/>
          <c:x val="0.30264490005235101"/>
          <c:y val="0.10126582278481013"/>
          <c:w val="0.45916110214852723"/>
          <c:h val="0.78355526761686434"/>
        </c:manualLayout>
      </c:layout>
      <c:barChart>
        <c:barDir val="bar"/>
        <c:grouping val="clustered"/>
        <c:varyColors val="0"/>
        <c:ser>
          <c:idx val="0"/>
          <c:order val="0"/>
          <c:tx>
            <c:strRef>
              <c:f>EDA!$B$19</c:f>
              <c:strCache>
                <c:ptCount val="1"/>
                <c:pt idx="0">
                  <c:v>Sum of Real 2023 TRY</c:v>
                </c:pt>
              </c:strCache>
            </c:strRef>
          </c:tx>
          <c:spPr>
            <a:solidFill>
              <a:srgbClr val="002060"/>
            </a:solidFill>
            <a:ln>
              <a:noFill/>
            </a:ln>
            <a:effectLst/>
          </c:spPr>
          <c:invertIfNegative val="0"/>
          <c:cat>
            <c:strRef>
              <c:f>EDA!$A$20:$A$25</c:f>
              <c:strCache>
                <c:ptCount val="5"/>
                <c:pt idx="0">
                  <c:v>Fuel</c:v>
                </c:pt>
                <c:pt idx="1">
                  <c:v>Oil</c:v>
                </c:pt>
                <c:pt idx="2">
                  <c:v>Coal</c:v>
                </c:pt>
                <c:pt idx="3">
                  <c:v>Natural Gas</c:v>
                </c:pt>
                <c:pt idx="4">
                  <c:v>General Fossil Fuel Support</c:v>
                </c:pt>
              </c:strCache>
            </c:strRef>
          </c:cat>
          <c:val>
            <c:numRef>
              <c:f>EDA!$B$20:$B$25</c:f>
              <c:numCache>
                <c:formatCode>\₺#,##0,,,"B"</c:formatCode>
                <c:ptCount val="5"/>
                <c:pt idx="0">
                  <c:v>130242700039.82054</c:v>
                </c:pt>
                <c:pt idx="1">
                  <c:v>60695653078.363441</c:v>
                </c:pt>
                <c:pt idx="2">
                  <c:v>47165982294.708923</c:v>
                </c:pt>
                <c:pt idx="3">
                  <c:v>21492254040.996338</c:v>
                </c:pt>
                <c:pt idx="4">
                  <c:v>18128454995.532021</c:v>
                </c:pt>
              </c:numCache>
            </c:numRef>
          </c:val>
          <c:extLst>
            <c:ext xmlns:c16="http://schemas.microsoft.com/office/drawing/2014/chart" uri="{C3380CC4-5D6E-409C-BE32-E72D297353CC}">
              <c16:uniqueId val="{00000000-2F17-4AD8-8AC3-54A522BD864D}"/>
            </c:ext>
          </c:extLst>
        </c:ser>
        <c:ser>
          <c:idx val="1"/>
          <c:order val="1"/>
          <c:tx>
            <c:strRef>
              <c:f>EDA!$C$19</c:f>
              <c:strCache>
                <c:ptCount val="1"/>
                <c:pt idx="0">
                  <c:v>Sum of Norminal TRY</c:v>
                </c:pt>
              </c:strCache>
            </c:strRef>
          </c:tx>
          <c:spPr>
            <a:solidFill>
              <a:schemeClr val="tx2">
                <a:lumMod val="75000"/>
                <a:lumOff val="25000"/>
              </a:schemeClr>
            </a:solidFill>
            <a:ln>
              <a:noFill/>
            </a:ln>
            <a:effectLst/>
          </c:spPr>
          <c:invertIfNegative val="0"/>
          <c:cat>
            <c:strRef>
              <c:f>EDA!$A$20:$A$25</c:f>
              <c:strCache>
                <c:ptCount val="5"/>
                <c:pt idx="0">
                  <c:v>Fuel</c:v>
                </c:pt>
                <c:pt idx="1">
                  <c:v>Oil</c:v>
                </c:pt>
                <c:pt idx="2">
                  <c:v>Coal</c:v>
                </c:pt>
                <c:pt idx="3">
                  <c:v>Natural Gas</c:v>
                </c:pt>
                <c:pt idx="4">
                  <c:v>General Fossil Fuel Support</c:v>
                </c:pt>
              </c:strCache>
            </c:strRef>
          </c:cat>
          <c:val>
            <c:numRef>
              <c:f>EDA!$C$20:$C$25</c:f>
              <c:numCache>
                <c:formatCode>\₺#,##0,,,"B"</c:formatCode>
                <c:ptCount val="5"/>
                <c:pt idx="0">
                  <c:v>64976957840</c:v>
                </c:pt>
                <c:pt idx="1">
                  <c:v>36019131588</c:v>
                </c:pt>
                <c:pt idx="2">
                  <c:v>22325513310</c:v>
                </c:pt>
                <c:pt idx="3">
                  <c:v>11133119118</c:v>
                </c:pt>
                <c:pt idx="4">
                  <c:v>12994186396</c:v>
                </c:pt>
              </c:numCache>
            </c:numRef>
          </c:val>
          <c:extLst>
            <c:ext xmlns:c16="http://schemas.microsoft.com/office/drawing/2014/chart" uri="{C3380CC4-5D6E-409C-BE32-E72D297353CC}">
              <c16:uniqueId val="{00000001-2F17-4AD8-8AC3-54A522BD864D}"/>
            </c:ext>
          </c:extLst>
        </c:ser>
        <c:dLbls>
          <c:showLegendKey val="0"/>
          <c:showVal val="0"/>
          <c:showCatName val="0"/>
          <c:showSerName val="0"/>
          <c:showPercent val="0"/>
          <c:showBubbleSize val="0"/>
        </c:dLbls>
        <c:gapWidth val="182"/>
        <c:axId val="1698733871"/>
        <c:axId val="1698138431"/>
      </c:barChart>
      <c:catAx>
        <c:axId val="169873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8138431"/>
        <c:crosses val="autoZero"/>
        <c:auto val="1"/>
        <c:lblAlgn val="ctr"/>
        <c:lblOffset val="100"/>
        <c:noMultiLvlLbl val="0"/>
      </c:catAx>
      <c:valAx>
        <c:axId val="1698138431"/>
        <c:scaling>
          <c:orientation val="minMax"/>
        </c:scaling>
        <c:delete val="0"/>
        <c:axPos val="b"/>
        <c:numFmt formatCode="\₺#,##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8733871"/>
        <c:crosses val="autoZero"/>
        <c:crossBetween val="between"/>
      </c:valAx>
      <c:spPr>
        <a:noFill/>
        <a:ln w="25400">
          <a:noFill/>
        </a:ln>
        <a:effectLst/>
      </c:spPr>
    </c:plotArea>
    <c:legend>
      <c:legendPos val="r"/>
      <c:layout>
        <c:manualLayout>
          <c:xMode val="edge"/>
          <c:yMode val="edge"/>
          <c:x val="0.72535411703116481"/>
          <c:y val="0.39319545499850495"/>
          <c:w val="0.26921847455635212"/>
          <c:h val="0.213609090002990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[Calculated and Cleaned Turkey_FFS_Data.xlsx]EDA!PivotTable5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Support</a:t>
            </a:r>
            <a:r>
              <a:rPr lang="en-US" b="1" baseline="0">
                <a:solidFill>
                  <a:srgbClr val="002060"/>
                </a:solidFill>
              </a:rPr>
              <a:t> Type Spilt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0206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noFill/>
          </a:ln>
          <a:effectLst/>
        </c:spPr>
        <c:dLbl>
          <c:idx val="0"/>
          <c:layout>
            <c:manualLayout>
              <c:x val="0.0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19050">
            <a:noFill/>
          </a:ln>
          <a:effectLst/>
        </c:spPr>
        <c:dLbl>
          <c:idx val="0"/>
          <c:layout>
            <c:manualLayout>
              <c:x val="-4.7222222222222249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w="19050">
            <a:noFill/>
          </a:ln>
          <a:effectLst/>
        </c:spPr>
        <c:dLbl>
          <c:idx val="0"/>
          <c:layout>
            <c:manualLayout>
              <c:x val="0.0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w="19050">
            <a:noFill/>
          </a:ln>
          <a:effectLst/>
        </c:spPr>
        <c:dLbl>
          <c:idx val="0"/>
          <c:layout>
            <c:manualLayout>
              <c:x val="-4.7222222222222249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w="19050">
            <a:noFill/>
          </a:ln>
          <a:effectLst/>
        </c:spPr>
        <c:dLbl>
          <c:idx val="0"/>
          <c:layout>
            <c:manualLayout>
              <c:x val="0.0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noFill/>
          </a:ln>
          <a:effectLst/>
        </c:spPr>
        <c:dLbl>
          <c:idx val="0"/>
          <c:layout>
            <c:manualLayout>
              <c:x val="-4.7222222222222249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w="19050">
            <a:solidFill>
              <a:schemeClr val="lt1"/>
            </a:solidFill>
          </a:ln>
          <a:effectLst/>
        </c:spPr>
        <c:dLbl>
          <c:idx val="0"/>
          <c:layout>
            <c:manualLayout>
              <c:x val="4.4265593561368208E-2"/>
              <c:y val="5.73248407643310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E0B362-AFF9-4127-821F-06A96D7B51A2}" type="VALUE">
                  <a:rPr lang="en-US" b="1"/>
                  <a:pPr>
                    <a:defRPr/>
                  </a:pPr>
                  <a:t>[VALUE]</a:t>
                </a:fld>
                <a:endParaRPr lang="en-NG"/>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tx2">
              <a:lumMod val="75000"/>
              <a:lumOff val="25000"/>
            </a:schemeClr>
          </a:solidFill>
          <a:ln w="19050">
            <a:solidFill>
              <a:schemeClr val="lt1"/>
            </a:solidFill>
          </a:ln>
          <a:effectLst/>
        </c:spPr>
        <c:dLbl>
          <c:idx val="0"/>
          <c:layout>
            <c:manualLayout>
              <c:x val="-5.63380281690141E-2"/>
              <c:y val="-6.36942675159235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EDA!$B$40</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8-7666-4C4F-8C91-3C31ACE4006F}"/>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9-7666-4C4F-8C91-3C31ACE4006F}"/>
              </c:ext>
            </c:extLst>
          </c:dPt>
          <c:dLbls>
            <c:dLbl>
              <c:idx val="0"/>
              <c:layout>
                <c:manualLayout>
                  <c:x val="4.4265593561368208E-2"/>
                  <c:y val="5.7324840764331093E-2"/>
                </c:manualLayout>
              </c:layout>
              <c:tx>
                <c:rich>
                  <a:bodyPr/>
                  <a:lstStyle/>
                  <a:p>
                    <a:fld id="{CAE0B362-AFF9-4127-821F-06A96D7B51A2}" type="VALUE">
                      <a:rPr lang="en-US" b="1"/>
                      <a:pPr/>
                      <a:t>[VALUE]</a:t>
                    </a:fld>
                    <a:endParaRPr lang="en-NG"/>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7666-4C4F-8C91-3C31ACE4006F}"/>
                </c:ext>
              </c:extLst>
            </c:dLbl>
            <c:dLbl>
              <c:idx val="1"/>
              <c:layout>
                <c:manualLayout>
                  <c:x val="-5.63380281690141E-2"/>
                  <c:y val="-6.36942675159235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666-4C4F-8C91-3C31ACE400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EDA!$A$41:$A$43</c:f>
              <c:strCache>
                <c:ptCount val="2"/>
                <c:pt idx="0">
                  <c:v>Tax Relief</c:v>
                </c:pt>
                <c:pt idx="1">
                  <c:v>Other Support Type</c:v>
                </c:pt>
              </c:strCache>
            </c:strRef>
          </c:cat>
          <c:val>
            <c:numRef>
              <c:f>EDA!$B$41:$B$43</c:f>
              <c:numCache>
                <c:formatCode>0.00%</c:formatCode>
                <c:ptCount val="2"/>
                <c:pt idx="0">
                  <c:v>0.75275481308319336</c:v>
                </c:pt>
                <c:pt idx="1">
                  <c:v>0.24724518691680669</c:v>
                </c:pt>
              </c:numCache>
            </c:numRef>
          </c:val>
          <c:extLst>
            <c:ext xmlns:c16="http://schemas.microsoft.com/office/drawing/2014/chart" uri="{C3380CC4-5D6E-409C-BE32-E72D297353CC}">
              <c16:uniqueId val="{00000007-7666-4C4F-8C91-3C31ACE400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Bahnschrift Light" panose="020B0502040204020203" pitchFamily="34" charset="0"/>
                <a:ea typeface="+mn-ea"/>
                <a:cs typeface="+mn-cs"/>
              </a:defRPr>
            </a:pPr>
            <a:r>
              <a:rPr lang="en-US" sz="900" b="1" i="0" u="none" strike="noStrike" baseline="0">
                <a:solidFill>
                  <a:srgbClr val="002060"/>
                </a:solidFill>
                <a:latin typeface="Bahnschrift Light" panose="020B0502040204020203" pitchFamily="34" charset="0"/>
              </a:rPr>
              <a:t>Fossil Fuel Support by Delivery Mechanism (Real 2023 TRY) </a:t>
            </a:r>
            <a:endParaRPr lang="en-US" sz="900" b="1">
              <a:solidFill>
                <a:srgbClr val="002060"/>
              </a:solidFill>
              <a:latin typeface="Bahnschrift Light"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Bahnschrift Light" panose="020B0502040204020203" pitchFamily="34" charset="0"/>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v>Other Support Type</c:v>
          </c:tx>
          <c:spPr>
            <a:solidFill>
              <a:schemeClr val="tx2">
                <a:lumMod val="75000"/>
                <a:lumOff val="25000"/>
              </a:schemeClr>
            </a:solidFill>
            <a:ln>
              <a:noFill/>
            </a:ln>
            <a:effectLst/>
          </c:spPr>
          <c:invertIfNegative val="0"/>
          <c:cat>
            <c:strLit>
              <c:ptCount val="5"/>
              <c:pt idx="0">
                <c:v>Fuel</c:v>
              </c:pt>
              <c:pt idx="1">
                <c:v>Oil</c:v>
              </c:pt>
              <c:pt idx="2">
                <c:v>Coal</c:v>
              </c:pt>
              <c:pt idx="3">
                <c:v>Natural Gas</c:v>
              </c:pt>
              <c:pt idx="4">
                <c:v>General Fossil Fuel Support</c:v>
              </c:pt>
            </c:strLit>
          </c:cat>
          <c:val>
            <c:numLit>
              <c:formatCode>General</c:formatCode>
              <c:ptCount val="5"/>
              <c:pt idx="0">
                <c:v>0</c:v>
              </c:pt>
              <c:pt idx="1">
                <c:v>3144908.0001820754</c:v>
              </c:pt>
              <c:pt idx="2">
                <c:v>47165982294.708923</c:v>
              </c:pt>
              <c:pt idx="3">
                <c:v>21492254040.996338</c:v>
              </c:pt>
              <c:pt idx="4">
                <c:v>4799282.6701394189</c:v>
              </c:pt>
            </c:numLit>
          </c:val>
          <c:extLst>
            <c:ext xmlns:c16="http://schemas.microsoft.com/office/drawing/2014/chart" uri="{C3380CC4-5D6E-409C-BE32-E72D297353CC}">
              <c16:uniqueId val="{00000000-DD4E-4395-A4A9-2CF4FBF57FAE}"/>
            </c:ext>
          </c:extLst>
        </c:ser>
        <c:ser>
          <c:idx val="1"/>
          <c:order val="1"/>
          <c:tx>
            <c:v>Tax Relief</c:v>
          </c:tx>
          <c:spPr>
            <a:solidFill>
              <a:srgbClr val="002060"/>
            </a:solidFill>
            <a:ln>
              <a:noFill/>
            </a:ln>
            <a:effectLst/>
          </c:spPr>
          <c:invertIfNegative val="0"/>
          <c:cat>
            <c:strLit>
              <c:ptCount val="5"/>
              <c:pt idx="0">
                <c:v>Fuel</c:v>
              </c:pt>
              <c:pt idx="1">
                <c:v>Oil</c:v>
              </c:pt>
              <c:pt idx="2">
                <c:v>Coal</c:v>
              </c:pt>
              <c:pt idx="3">
                <c:v>Natural Gas</c:v>
              </c:pt>
              <c:pt idx="4">
                <c:v>General Fossil Fuel Support</c:v>
              </c:pt>
            </c:strLit>
          </c:cat>
          <c:val>
            <c:numLit>
              <c:formatCode>General</c:formatCode>
              <c:ptCount val="5"/>
              <c:pt idx="0">
                <c:v>130242700039.82054</c:v>
              </c:pt>
              <c:pt idx="1">
                <c:v>60692508170.363258</c:v>
              </c:pt>
              <c:pt idx="2">
                <c:v>0</c:v>
              </c:pt>
              <c:pt idx="3">
                <c:v>0</c:v>
              </c:pt>
              <c:pt idx="4">
                <c:v>18123655712.861885</c:v>
              </c:pt>
            </c:numLit>
          </c:val>
          <c:extLst>
            <c:ext xmlns:c16="http://schemas.microsoft.com/office/drawing/2014/chart" uri="{C3380CC4-5D6E-409C-BE32-E72D297353CC}">
              <c16:uniqueId val="{00000001-DD4E-4395-A4A9-2CF4FBF57FAE}"/>
            </c:ext>
          </c:extLst>
        </c:ser>
        <c:dLbls>
          <c:showLegendKey val="0"/>
          <c:showVal val="0"/>
          <c:showCatName val="0"/>
          <c:showSerName val="0"/>
          <c:showPercent val="0"/>
          <c:showBubbleSize val="0"/>
        </c:dLbls>
        <c:gapWidth val="150"/>
        <c:axId val="804059839"/>
        <c:axId val="623302975"/>
      </c:barChart>
      <c:catAx>
        <c:axId val="80405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23302975"/>
        <c:crosses val="autoZero"/>
        <c:auto val="1"/>
        <c:lblAlgn val="ctr"/>
        <c:lblOffset val="100"/>
        <c:noMultiLvlLbl val="0"/>
      </c:catAx>
      <c:valAx>
        <c:axId val="623302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405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Pareto Chart</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Pareto Chart</a:t>
          </a:r>
        </a:p>
      </cx:txPr>
    </cx:title>
    <cx:plotArea>
      <cx:plotAreaRegion>
        <cx:series layoutId="clusteredColumn" uniqueId="{A2DC9442-50AD-418C-BB29-EC997A267E57}">
          <cx:tx>
            <cx:txData>
              <cx:f>_xlchart.v1.1</cx:f>
              <cx:v>Sum of Real 2023 TRY</cx:v>
            </cx:txData>
          </cx:tx>
          <cx:spPr>
            <a:solidFill>
              <a:srgbClr val="002060"/>
            </a:solidFill>
          </cx:spPr>
          <cx:dataId val="0"/>
          <cx:layoutPr>
            <cx:aggregation/>
          </cx:layoutPr>
          <cx:axisId val="1"/>
        </cx:series>
        <cx:series layoutId="paretoLine" ownerIdx="0" uniqueId="{61DF45B9-191B-4A26-A436-51694420E585}">
          <cx:spPr>
            <a:solidFill>
              <a:srgbClr val="C00000"/>
            </a:solidFill>
          </cx:spPr>
          <cx:axisId val="2"/>
        </cx:series>
      </cx:plotAreaRegion>
      <cx:axis id="0">
        <cx:catScaling gapWidth="3.19000006"/>
        <cx:tickLabels/>
      </cx:axis>
      <cx:axis id="1">
        <cx:valScaling/>
        <cx:majorGridlines/>
        <cx:tickLabels/>
      </cx:axis>
      <cx:axis id="2">
        <cx:valScaling max="1" min="0"/>
        <cx:units unit="percentage"/>
        <cx:tickLabels/>
      </cx:axis>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microsoft.com/office/2014/relationships/chartEx" Target="../charts/chartEx1.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1.png"/><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88900</xdr:colOff>
      <xdr:row>55</xdr:row>
      <xdr:rowOff>12700</xdr:rowOff>
    </xdr:from>
    <xdr:to>
      <xdr:col>7</xdr:col>
      <xdr:colOff>377825</xdr:colOff>
      <xdr:row>69</xdr:row>
      <xdr:rowOff>38100</xdr:rowOff>
    </xdr:to>
    <xdr:graphicFrame macro="">
      <xdr:nvGraphicFramePr>
        <xdr:cNvPr id="5" name="Chart 4">
          <a:extLst>
            <a:ext uri="{FF2B5EF4-FFF2-40B4-BE49-F238E27FC236}">
              <a16:creationId xmlns:a16="http://schemas.microsoft.com/office/drawing/2014/main" id="{2666E764-932B-4F5A-919C-12977F0C1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206374</xdr:colOff>
      <xdr:row>0</xdr:row>
      <xdr:rowOff>63500</xdr:rowOff>
    </xdr:from>
    <xdr:to>
      <xdr:col>12</xdr:col>
      <xdr:colOff>596899</xdr:colOff>
      <xdr:row>16</xdr:row>
      <xdr:rowOff>73025</xdr:rowOff>
    </xdr:to>
    <xdr:graphicFrame macro="">
      <xdr:nvGraphicFramePr>
        <xdr:cNvPr id="7" name="Chart 6">
          <a:extLst>
            <a:ext uri="{FF2B5EF4-FFF2-40B4-BE49-F238E27FC236}">
              <a16:creationId xmlns:a16="http://schemas.microsoft.com/office/drawing/2014/main" id="{B4219D05-C918-4F7C-A439-2B5681D5D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53975</xdr:colOff>
      <xdr:row>34</xdr:row>
      <xdr:rowOff>168275</xdr:rowOff>
    </xdr:from>
    <xdr:to>
      <xdr:col>8</xdr:col>
      <xdr:colOff>282575</xdr:colOff>
      <xdr:row>49</xdr:row>
      <xdr:rowOff>149225</xdr:rowOff>
    </xdr:to>
    <xdr:graphicFrame macro="">
      <xdr:nvGraphicFramePr>
        <xdr:cNvPr id="8" name="Chart 7">
          <a:extLst>
            <a:ext uri="{FF2B5EF4-FFF2-40B4-BE49-F238E27FC236}">
              <a16:creationId xmlns:a16="http://schemas.microsoft.com/office/drawing/2014/main" id="{830E24FB-2B9B-4031-BC54-8F8DE3D8C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104774</xdr:colOff>
      <xdr:row>80</xdr:row>
      <xdr:rowOff>127000</xdr:rowOff>
    </xdr:from>
    <xdr:to>
      <xdr:col>8</xdr:col>
      <xdr:colOff>520699</xdr:colOff>
      <xdr:row>101</xdr:row>
      <xdr:rowOff>180975</xdr:rowOff>
    </xdr:to>
    <xdr:graphicFrame macro="">
      <xdr:nvGraphicFramePr>
        <xdr:cNvPr id="9" name="Chart 8">
          <a:extLst>
            <a:ext uri="{FF2B5EF4-FFF2-40B4-BE49-F238E27FC236}">
              <a16:creationId xmlns:a16="http://schemas.microsoft.com/office/drawing/2014/main" id="{170AB973-5933-4779-B550-FEDBE85B6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146051</xdr:colOff>
      <xdr:row>111</xdr:row>
      <xdr:rowOff>158750</xdr:rowOff>
    </xdr:from>
    <xdr:to>
      <xdr:col>8</xdr:col>
      <xdr:colOff>654051</xdr:colOff>
      <xdr:row>138</xdr:row>
      <xdr:rowOff>133350</xdr:rowOff>
    </xdr:to>
    <xdr:graphicFrame macro="">
      <xdr:nvGraphicFramePr>
        <xdr:cNvPr id="10" name="Chart 9">
          <a:extLst>
            <a:ext uri="{FF2B5EF4-FFF2-40B4-BE49-F238E27FC236}">
              <a16:creationId xmlns:a16="http://schemas.microsoft.com/office/drawing/2014/main" id="{81C040EB-01A1-4CC5-B224-5C09796B3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498475</xdr:colOff>
      <xdr:row>18</xdr:row>
      <xdr:rowOff>44450</xdr:rowOff>
    </xdr:from>
    <xdr:to>
      <xdr:col>11</xdr:col>
      <xdr:colOff>15875</xdr:colOff>
      <xdr:row>34</xdr:row>
      <xdr:rowOff>117475</xdr:rowOff>
    </xdr:to>
    <xdr:graphicFrame macro="">
      <xdr:nvGraphicFramePr>
        <xdr:cNvPr id="11" name="Chart 10">
          <a:extLst>
            <a:ext uri="{FF2B5EF4-FFF2-40B4-BE49-F238E27FC236}">
              <a16:creationId xmlns:a16="http://schemas.microsoft.com/office/drawing/2014/main" id="{7649F907-C777-482D-98C1-7BE57F240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390525</xdr:colOff>
      <xdr:row>18</xdr:row>
      <xdr:rowOff>136525</xdr:rowOff>
    </xdr:from>
    <xdr:to>
      <xdr:col>17</xdr:col>
      <xdr:colOff>695325</xdr:colOff>
      <xdr:row>33</xdr:row>
      <xdr:rowOff>117475</xdr:rowOff>
    </xdr:to>
    <xdr:graphicFrame macro="">
      <xdr:nvGraphicFramePr>
        <xdr:cNvPr id="13" name="Chart 12">
          <a:extLst>
            <a:ext uri="{FF2B5EF4-FFF2-40B4-BE49-F238E27FC236}">
              <a16:creationId xmlns:a16="http://schemas.microsoft.com/office/drawing/2014/main" id="{54C212AC-80C4-44BE-B338-3BB697A97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44450</xdr:colOff>
      <xdr:row>17</xdr:row>
      <xdr:rowOff>44450</xdr:rowOff>
    </xdr:from>
    <xdr:to>
      <xdr:col>9</xdr:col>
      <xdr:colOff>514350</xdr:colOff>
      <xdr:row>35</xdr:row>
      <xdr:rowOff>127000</xdr:rowOff>
    </xdr:to>
    <xdr:graphicFrame macro="">
      <xdr:nvGraphicFramePr>
        <xdr:cNvPr id="2" name="Chart 1">
          <a:extLst>
            <a:ext uri="{FF2B5EF4-FFF2-40B4-BE49-F238E27FC236}">
              <a16:creationId xmlns:a16="http://schemas.microsoft.com/office/drawing/2014/main" id="{B6A3032C-766C-4A89-896A-3BDB18E0B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22224</xdr:colOff>
      <xdr:row>5</xdr:row>
      <xdr:rowOff>25400</xdr:rowOff>
    </xdr:from>
    <xdr:to>
      <xdr:col>37</xdr:col>
      <xdr:colOff>266699</xdr:colOff>
      <xdr:row>29</xdr:row>
      <xdr:rowOff>101600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00CEF042-B975-4A07-936A-2AB36F63BD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895424" y="946150"/>
              <a:ext cx="8778875" cy="44958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650874</xdr:colOff>
      <xdr:row>40</xdr:row>
      <xdr:rowOff>60325</xdr:rowOff>
    </xdr:from>
    <xdr:to>
      <xdr:col>12</xdr:col>
      <xdr:colOff>292099</xdr:colOff>
      <xdr:row>51</xdr:row>
      <xdr:rowOff>50800</xdr:rowOff>
    </xdr:to>
    <xdr:graphicFrame macro="">
      <xdr:nvGraphicFramePr>
        <xdr:cNvPr id="10" name="Chart 9">
          <a:extLst>
            <a:ext uri="{FF2B5EF4-FFF2-40B4-BE49-F238E27FC236}">
              <a16:creationId xmlns:a16="http://schemas.microsoft.com/office/drawing/2014/main" id="{19197955-1250-4D82-BA65-60233ED2F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69850</xdr:colOff>
      <xdr:row>0</xdr:row>
      <xdr:rowOff>44450</xdr:rowOff>
    </xdr:from>
    <xdr:to>
      <xdr:col>17</xdr:col>
      <xdr:colOff>520700</xdr:colOff>
      <xdr:row>30</xdr:row>
      <xdr:rowOff>177799</xdr:rowOff>
    </xdr:to>
    <xdr:pic>
      <xdr:nvPicPr>
        <xdr:cNvPr id="3" name="Picture 2">
          <a:extLst>
            <a:ext uri="{FF2B5EF4-FFF2-40B4-BE49-F238E27FC236}">
              <a16:creationId xmlns:a16="http://schemas.microsoft.com/office/drawing/2014/main" id="{EF10013B-C24D-4171-863D-E24ECC89E3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850" y="44450"/>
          <a:ext cx="10814050" cy="5657849"/>
        </a:xfrm>
        <a:prstGeom prst="rect">
          <a:avLst/>
        </a:prstGeom>
      </xdr:spPr>
    </xdr:pic>
    <xdr:clientData/>
  </xdr:twoCellAnchor>
  <xdr:twoCellAnchor>
    <xdr:from>
      <xdr:col>3</xdr:col>
      <xdr:colOff>190500</xdr:colOff>
      <xdr:row>0</xdr:row>
      <xdr:rowOff>82550</xdr:rowOff>
    </xdr:from>
    <xdr:to>
      <xdr:col>17</xdr:col>
      <xdr:colOff>279400</xdr:colOff>
      <xdr:row>3</xdr:row>
      <xdr:rowOff>101600</xdr:rowOff>
    </xdr:to>
    <xdr:sp macro="" textlink="">
      <xdr:nvSpPr>
        <xdr:cNvPr id="4" name="TextBox 3">
          <a:extLst>
            <a:ext uri="{FF2B5EF4-FFF2-40B4-BE49-F238E27FC236}">
              <a16:creationId xmlns:a16="http://schemas.microsoft.com/office/drawing/2014/main" id="{CCA61354-7931-480C-9C15-765C7C43275F}"/>
            </a:ext>
          </a:extLst>
        </xdr:cNvPr>
        <xdr:cNvSpPr txBox="1"/>
      </xdr:nvSpPr>
      <xdr:spPr>
        <a:xfrm>
          <a:off x="2019300" y="82550"/>
          <a:ext cx="86233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ctr"/>
          <a:r>
            <a:rPr lang="en-US" sz="2000" b="1" i="0">
              <a:solidFill>
                <a:srgbClr val="002060"/>
              </a:solidFill>
              <a:effectLst/>
              <a:latin typeface="+mn-lt"/>
              <a:ea typeface="+mn-ea"/>
              <a:cs typeface="+mn-cs"/>
            </a:rPr>
            <a:t>FOSSIL FUEL SUPPORT</a:t>
          </a:r>
          <a:r>
            <a:rPr lang="en-US" sz="2000" b="1" i="0" baseline="0">
              <a:solidFill>
                <a:srgbClr val="002060"/>
              </a:solidFill>
              <a:effectLst/>
              <a:latin typeface="+mn-lt"/>
              <a:ea typeface="+mn-ea"/>
              <a:cs typeface="+mn-cs"/>
            </a:rPr>
            <a:t> </a:t>
          </a:r>
          <a:r>
            <a:rPr lang="en-US" sz="2000" b="1" i="0">
              <a:solidFill>
                <a:srgbClr val="002060"/>
              </a:solidFill>
              <a:effectLst/>
              <a:latin typeface="+mn-lt"/>
              <a:ea typeface="+mn-ea"/>
              <a:cs typeface="+mn-cs"/>
            </a:rPr>
            <a:t>ANALYSIS REPORT IN TÜRKİYE FROM</a:t>
          </a:r>
          <a:r>
            <a:rPr lang="en-US" sz="2000" b="1" i="0" baseline="0">
              <a:solidFill>
                <a:srgbClr val="002060"/>
              </a:solidFill>
              <a:effectLst/>
              <a:latin typeface="+mn-lt"/>
              <a:ea typeface="+mn-ea"/>
              <a:cs typeface="+mn-cs"/>
            </a:rPr>
            <a:t> </a:t>
          </a:r>
          <a:r>
            <a:rPr lang="en-US" sz="2000" b="1" i="0">
              <a:solidFill>
                <a:srgbClr val="002060"/>
              </a:solidFill>
              <a:effectLst/>
              <a:latin typeface="+mn-lt"/>
              <a:ea typeface="+mn-ea"/>
              <a:cs typeface="+mn-cs"/>
            </a:rPr>
            <a:t>(2020–2023)</a:t>
          </a:r>
          <a:endParaRPr lang="en-NG" sz="2000">
            <a:solidFill>
              <a:srgbClr val="002060"/>
            </a:solidFill>
          </a:endParaRPr>
        </a:p>
      </xdr:txBody>
    </xdr:sp>
    <xdr:clientData/>
  </xdr:twoCellAnchor>
  <xdr:twoCellAnchor>
    <xdr:from>
      <xdr:col>3</xdr:col>
      <xdr:colOff>260350</xdr:colOff>
      <xdr:row>4</xdr:row>
      <xdr:rowOff>120650</xdr:rowOff>
    </xdr:from>
    <xdr:to>
      <xdr:col>5</xdr:col>
      <xdr:colOff>425450</xdr:colOff>
      <xdr:row>7</xdr:row>
      <xdr:rowOff>38100</xdr:rowOff>
    </xdr:to>
    <xdr:sp macro="" textlink="">
      <xdr:nvSpPr>
        <xdr:cNvPr id="5" name="TextBox 4">
          <a:extLst>
            <a:ext uri="{FF2B5EF4-FFF2-40B4-BE49-F238E27FC236}">
              <a16:creationId xmlns:a16="http://schemas.microsoft.com/office/drawing/2014/main" id="{03CDDF4D-6E8A-4BC0-8534-BC78320C0D31}"/>
            </a:ext>
          </a:extLst>
        </xdr:cNvPr>
        <xdr:cNvSpPr txBox="1"/>
      </xdr:nvSpPr>
      <xdr:spPr>
        <a:xfrm>
          <a:off x="2089150" y="857250"/>
          <a:ext cx="13843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G" sz="1200" b="1" i="0">
              <a:solidFill>
                <a:srgbClr val="002060"/>
              </a:solidFill>
              <a:effectLst/>
              <a:latin typeface="Bahnschrift Light" panose="020B0502040204020203" pitchFamily="34" charset="0"/>
              <a:ea typeface="+mn-ea"/>
              <a:cs typeface="+mn-cs"/>
            </a:rPr>
            <a:t>₺50.0</a:t>
          </a:r>
          <a:r>
            <a:rPr lang="en-US" sz="1200" b="1" i="0">
              <a:solidFill>
                <a:srgbClr val="002060"/>
              </a:solidFill>
              <a:effectLst/>
              <a:latin typeface="Bahnschrift Light" panose="020B0502040204020203" pitchFamily="34" charset="0"/>
              <a:ea typeface="+mn-ea"/>
              <a:cs typeface="+mn-cs"/>
            </a:rPr>
            <a:t>B</a:t>
          </a:r>
          <a:br>
            <a:rPr lang="en-US" sz="1200" b="1" i="0">
              <a:solidFill>
                <a:srgbClr val="002060"/>
              </a:solidFill>
              <a:effectLst/>
              <a:latin typeface="Bahnschrift Light" panose="020B0502040204020203" pitchFamily="34" charset="0"/>
              <a:ea typeface="+mn-ea"/>
              <a:cs typeface="+mn-cs"/>
            </a:rPr>
          </a:br>
          <a:r>
            <a:rPr lang="en-US" sz="1200" b="1" i="0">
              <a:solidFill>
                <a:srgbClr val="002060"/>
              </a:solidFill>
              <a:effectLst/>
              <a:latin typeface="Bahnschrift Light" panose="020B0502040204020203" pitchFamily="34" charset="0"/>
              <a:ea typeface="+mn-ea"/>
              <a:cs typeface="+mn-cs"/>
            </a:rPr>
            <a:t>Total </a:t>
          </a:r>
          <a:r>
            <a:rPr lang="en-US" sz="1200" b="1">
              <a:solidFill>
                <a:srgbClr val="002060"/>
              </a:solidFill>
              <a:latin typeface="Bahnschrift Light" panose="020B0502040204020203" pitchFamily="34" charset="0"/>
            </a:rPr>
            <a:t>2023</a:t>
          </a:r>
          <a:r>
            <a:rPr lang="en-US" sz="1200" b="1" i="0">
              <a:solidFill>
                <a:srgbClr val="002060"/>
              </a:solidFill>
              <a:effectLst/>
              <a:latin typeface="Bahnschrift Light" panose="020B0502040204020203" pitchFamily="34" charset="0"/>
              <a:ea typeface="+mn-ea"/>
              <a:cs typeface="+mn-cs"/>
            </a:rPr>
            <a:t> Spend</a:t>
          </a:r>
          <a:endParaRPr lang="en-NG" sz="1200" b="1">
            <a:solidFill>
              <a:srgbClr val="002060"/>
            </a:solidFill>
            <a:latin typeface="Bahnschrift Light" panose="020B0502040204020203" pitchFamily="34" charset="0"/>
          </a:endParaRPr>
        </a:p>
      </xdr:txBody>
    </xdr:sp>
    <xdr:clientData/>
  </xdr:twoCellAnchor>
  <xdr:twoCellAnchor>
    <xdr:from>
      <xdr:col>6</xdr:col>
      <xdr:colOff>203200</xdr:colOff>
      <xdr:row>4</xdr:row>
      <xdr:rowOff>76200</xdr:rowOff>
    </xdr:from>
    <xdr:to>
      <xdr:col>8</xdr:col>
      <xdr:colOff>361950</xdr:colOff>
      <xdr:row>7</xdr:row>
      <xdr:rowOff>12700</xdr:rowOff>
    </xdr:to>
    <xdr:sp macro="" textlink="">
      <xdr:nvSpPr>
        <xdr:cNvPr id="6" name="TextBox 5">
          <a:extLst>
            <a:ext uri="{FF2B5EF4-FFF2-40B4-BE49-F238E27FC236}">
              <a16:creationId xmlns:a16="http://schemas.microsoft.com/office/drawing/2014/main" id="{21737362-A32B-4707-8CC3-00EA71EDEE95}"/>
            </a:ext>
          </a:extLst>
        </xdr:cNvPr>
        <xdr:cNvSpPr txBox="1"/>
      </xdr:nvSpPr>
      <xdr:spPr>
        <a:xfrm>
          <a:off x="3860800" y="812800"/>
          <a:ext cx="137795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G" sz="1100" b="1" i="0">
              <a:solidFill>
                <a:schemeClr val="dk1"/>
              </a:solidFill>
              <a:effectLst/>
              <a:latin typeface="Bahnschrift Light" panose="020B0502040204020203" pitchFamily="34" charset="0"/>
              <a:ea typeface="+mn-ea"/>
              <a:cs typeface="+mn-cs"/>
            </a:rPr>
            <a:t>+</a:t>
          </a:r>
          <a:r>
            <a:rPr lang="en-NG" sz="1100" b="1" i="0">
              <a:solidFill>
                <a:srgbClr val="002060"/>
              </a:solidFill>
              <a:effectLst/>
              <a:latin typeface="Bahnschrift Light" panose="020B0502040204020203" pitchFamily="34" charset="0"/>
              <a:ea typeface="+mn-ea"/>
              <a:cs typeface="+mn-cs"/>
            </a:rPr>
            <a:t>79%</a:t>
          </a:r>
          <a:endParaRPr lang="en-US" sz="1100" b="1" i="0">
            <a:solidFill>
              <a:srgbClr val="002060"/>
            </a:solidFill>
            <a:effectLst/>
            <a:latin typeface="Bahnschrift Light" panose="020B0502040204020203" pitchFamily="34" charset="0"/>
            <a:ea typeface="+mn-ea"/>
            <a:cs typeface="+mn-cs"/>
          </a:endParaRPr>
        </a:p>
        <a:p>
          <a:pPr algn="ctr"/>
          <a:r>
            <a:rPr lang="en-US" sz="1100" b="1" i="0">
              <a:solidFill>
                <a:srgbClr val="002060"/>
              </a:solidFill>
              <a:effectLst/>
              <a:latin typeface="Bahnschrift Light" panose="020B0502040204020203" pitchFamily="34" charset="0"/>
              <a:ea typeface="+mn-ea"/>
              <a:cs typeface="+mn-cs"/>
            </a:rPr>
            <a:t>Nominal Growth</a:t>
          </a:r>
          <a:endParaRPr lang="en-NG" sz="1100" b="1">
            <a:solidFill>
              <a:srgbClr val="002060"/>
            </a:solidFill>
            <a:latin typeface="Bahnschrift Light" panose="020B0502040204020203" pitchFamily="34" charset="0"/>
          </a:endParaRPr>
        </a:p>
      </xdr:txBody>
    </xdr:sp>
    <xdr:clientData/>
  </xdr:twoCellAnchor>
  <xdr:twoCellAnchor>
    <xdr:from>
      <xdr:col>9</xdr:col>
      <xdr:colOff>114300</xdr:colOff>
      <xdr:row>4</xdr:row>
      <xdr:rowOff>69850</xdr:rowOff>
    </xdr:from>
    <xdr:to>
      <xdr:col>11</xdr:col>
      <xdr:colOff>247650</xdr:colOff>
      <xdr:row>7</xdr:row>
      <xdr:rowOff>31750</xdr:rowOff>
    </xdr:to>
    <xdr:sp macro="" textlink="">
      <xdr:nvSpPr>
        <xdr:cNvPr id="7" name="TextBox 6">
          <a:extLst>
            <a:ext uri="{FF2B5EF4-FFF2-40B4-BE49-F238E27FC236}">
              <a16:creationId xmlns:a16="http://schemas.microsoft.com/office/drawing/2014/main" id="{14C84EC2-D0FA-4A6D-BA4E-254E175B3937}"/>
            </a:ext>
          </a:extLst>
        </xdr:cNvPr>
        <xdr:cNvSpPr txBox="1"/>
      </xdr:nvSpPr>
      <xdr:spPr>
        <a:xfrm>
          <a:off x="5600700" y="806450"/>
          <a:ext cx="13525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G" sz="1200" b="1" i="0">
              <a:solidFill>
                <a:srgbClr val="002060"/>
              </a:solidFill>
              <a:effectLst/>
              <a:latin typeface="Bahnschrift Light" panose="020B0502040204020203" pitchFamily="34" charset="0"/>
              <a:ea typeface="+mn-ea"/>
              <a:cs typeface="+mn-cs"/>
            </a:rPr>
            <a:t>-43%</a:t>
          </a:r>
          <a:endParaRPr lang="en-US" sz="1200" b="1" i="0">
            <a:solidFill>
              <a:srgbClr val="002060"/>
            </a:solidFill>
            <a:effectLst/>
            <a:latin typeface="Bahnschrift Light" panose="020B0502040204020203" pitchFamily="34" charset="0"/>
            <a:ea typeface="+mn-ea"/>
            <a:cs typeface="+mn-cs"/>
          </a:endParaRPr>
        </a:p>
        <a:p>
          <a:pPr algn="ctr"/>
          <a:r>
            <a:rPr lang="en-US" sz="1200" b="1" i="0">
              <a:solidFill>
                <a:srgbClr val="002060"/>
              </a:solidFill>
              <a:effectLst/>
              <a:latin typeface="Bahnschrift Light" panose="020B0502040204020203" pitchFamily="34" charset="0"/>
              <a:ea typeface="+mn-ea"/>
              <a:cs typeface="+mn-cs"/>
            </a:rPr>
            <a:t>Real Growth </a:t>
          </a:r>
          <a:endParaRPr lang="en-NG" sz="1200" b="1">
            <a:solidFill>
              <a:srgbClr val="002060"/>
            </a:solidFill>
            <a:latin typeface="Bahnschrift Light" panose="020B0502040204020203" pitchFamily="34" charset="0"/>
          </a:endParaRPr>
        </a:p>
      </xdr:txBody>
    </xdr:sp>
    <xdr:clientData/>
  </xdr:twoCellAnchor>
  <xdr:twoCellAnchor>
    <xdr:from>
      <xdr:col>11</xdr:col>
      <xdr:colOff>603250</xdr:colOff>
      <xdr:row>4</xdr:row>
      <xdr:rowOff>120650</xdr:rowOff>
    </xdr:from>
    <xdr:to>
      <xdr:col>14</xdr:col>
      <xdr:colOff>222250</xdr:colOff>
      <xdr:row>7</xdr:row>
      <xdr:rowOff>19050</xdr:rowOff>
    </xdr:to>
    <xdr:sp macro="" textlink="">
      <xdr:nvSpPr>
        <xdr:cNvPr id="8" name="TextBox 7">
          <a:extLst>
            <a:ext uri="{FF2B5EF4-FFF2-40B4-BE49-F238E27FC236}">
              <a16:creationId xmlns:a16="http://schemas.microsoft.com/office/drawing/2014/main" id="{37B130C0-BFFD-4527-8971-93FFAE7A240A}"/>
            </a:ext>
          </a:extLst>
        </xdr:cNvPr>
        <xdr:cNvSpPr txBox="1"/>
      </xdr:nvSpPr>
      <xdr:spPr>
        <a:xfrm>
          <a:off x="7308850" y="857250"/>
          <a:ext cx="14478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G" sz="1100" b="1" i="0">
              <a:solidFill>
                <a:srgbClr val="002060"/>
              </a:solidFill>
              <a:effectLst/>
              <a:latin typeface="+mn-lt"/>
              <a:ea typeface="+mn-ea"/>
              <a:cs typeface="+mn-cs"/>
            </a:rPr>
            <a:t> </a:t>
          </a:r>
          <a:r>
            <a:rPr lang="en-NG" sz="1100" b="1" i="0">
              <a:solidFill>
                <a:srgbClr val="002060"/>
              </a:solidFill>
              <a:effectLst/>
              <a:latin typeface="Bahnschrift Light" panose="020B0502040204020203" pitchFamily="34" charset="0"/>
              <a:ea typeface="+mn-ea"/>
              <a:cs typeface="+mn-cs"/>
            </a:rPr>
            <a:t>47%</a:t>
          </a:r>
          <a:endParaRPr lang="en-US" sz="1100" b="1" i="0">
            <a:solidFill>
              <a:srgbClr val="002060"/>
            </a:solidFill>
            <a:effectLst/>
            <a:latin typeface="Bahnschrift Light" panose="020B0502040204020203" pitchFamily="34" charset="0"/>
            <a:ea typeface="+mn-ea"/>
            <a:cs typeface="+mn-cs"/>
          </a:endParaRPr>
        </a:p>
        <a:p>
          <a:pPr algn="ctr"/>
          <a:r>
            <a:rPr lang="en-US" sz="1100" b="1" i="0">
              <a:solidFill>
                <a:srgbClr val="002060"/>
              </a:solidFill>
              <a:effectLst/>
              <a:latin typeface="Bahnschrift Light" panose="020B0502040204020203" pitchFamily="34" charset="0"/>
              <a:ea typeface="+mn-ea"/>
              <a:cs typeface="+mn-cs"/>
            </a:rPr>
            <a:t>Top </a:t>
          </a:r>
          <a:r>
            <a:rPr lang="en-US" sz="1100" b="1">
              <a:solidFill>
                <a:srgbClr val="002060"/>
              </a:solidFill>
              <a:latin typeface="Bahnschrift Light" panose="020B0502040204020203" pitchFamily="34" charset="0"/>
            </a:rPr>
            <a:t>3</a:t>
          </a:r>
          <a:r>
            <a:rPr lang="en-US" sz="1100" b="1" i="0">
              <a:solidFill>
                <a:srgbClr val="002060"/>
              </a:solidFill>
              <a:effectLst/>
              <a:latin typeface="Bahnschrift Light" panose="020B0502040204020203" pitchFamily="34" charset="0"/>
              <a:ea typeface="+mn-ea"/>
              <a:cs typeface="+mn-cs"/>
            </a:rPr>
            <a:t> Concentration</a:t>
          </a:r>
          <a:endParaRPr lang="en-NG" sz="1100" b="1">
            <a:solidFill>
              <a:srgbClr val="002060"/>
            </a:solidFill>
            <a:latin typeface="Bahnschrift Light" panose="020B0502040204020203" pitchFamily="34" charset="0"/>
          </a:endParaRPr>
        </a:p>
      </xdr:txBody>
    </xdr:sp>
    <xdr:clientData/>
  </xdr:twoCellAnchor>
  <xdr:twoCellAnchor>
    <xdr:from>
      <xdr:col>15</xdr:col>
      <xdr:colOff>139700</xdr:colOff>
      <xdr:row>4</xdr:row>
      <xdr:rowOff>69850</xdr:rowOff>
    </xdr:from>
    <xdr:to>
      <xdr:col>17</xdr:col>
      <xdr:colOff>260350</xdr:colOff>
      <xdr:row>6</xdr:row>
      <xdr:rowOff>146050</xdr:rowOff>
    </xdr:to>
    <xdr:sp macro="" textlink="">
      <xdr:nvSpPr>
        <xdr:cNvPr id="9" name="TextBox 8">
          <a:extLst>
            <a:ext uri="{FF2B5EF4-FFF2-40B4-BE49-F238E27FC236}">
              <a16:creationId xmlns:a16="http://schemas.microsoft.com/office/drawing/2014/main" id="{63DAEB4D-3449-4AD6-BE2B-DAF2ECEC2D32}"/>
            </a:ext>
          </a:extLst>
        </xdr:cNvPr>
        <xdr:cNvSpPr txBox="1"/>
      </xdr:nvSpPr>
      <xdr:spPr>
        <a:xfrm>
          <a:off x="9283700" y="806450"/>
          <a:ext cx="13398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G" sz="1100" b="0" i="0">
              <a:solidFill>
                <a:schemeClr val="dk1"/>
              </a:solidFill>
              <a:effectLst/>
              <a:latin typeface="+mn-lt"/>
              <a:ea typeface="+mn-ea"/>
              <a:cs typeface="+mn-cs"/>
            </a:rPr>
            <a:t> </a:t>
          </a:r>
          <a:r>
            <a:rPr lang="en-NG" sz="1100" b="1" i="0">
              <a:solidFill>
                <a:srgbClr val="002060"/>
              </a:solidFill>
              <a:effectLst/>
              <a:latin typeface="Bahnschrift Light" panose="020B0502040204020203" pitchFamily="34" charset="0"/>
              <a:ea typeface="+mn-ea"/>
              <a:cs typeface="+mn-cs"/>
            </a:rPr>
            <a:t>26</a:t>
          </a:r>
          <a:endParaRPr lang="en-US" sz="1100" b="1" i="0">
            <a:solidFill>
              <a:srgbClr val="002060"/>
            </a:solidFill>
            <a:effectLst/>
            <a:latin typeface="Bahnschrift Light" panose="020B0502040204020203" pitchFamily="34" charset="0"/>
            <a:ea typeface="+mn-ea"/>
            <a:cs typeface="+mn-cs"/>
          </a:endParaRPr>
        </a:p>
        <a:p>
          <a:pPr algn="ctr"/>
          <a:r>
            <a:rPr lang="en-US" sz="1100" b="1" i="0">
              <a:solidFill>
                <a:srgbClr val="002060"/>
              </a:solidFill>
              <a:effectLst/>
              <a:latin typeface="Bahnschrift Light" panose="020B0502040204020203" pitchFamily="34" charset="0"/>
              <a:ea typeface="+mn-ea"/>
              <a:cs typeface="+mn-cs"/>
            </a:rPr>
            <a:t>Total Instruments</a:t>
          </a:r>
          <a:endParaRPr lang="en-NG" sz="1100" b="1">
            <a:solidFill>
              <a:srgbClr val="002060"/>
            </a:solidFill>
            <a:latin typeface="Bahnschrift Light" panose="020B0502040204020203" pitchFamily="34" charset="0"/>
          </a:endParaRPr>
        </a:p>
      </xdr:txBody>
    </xdr:sp>
    <xdr:clientData/>
  </xdr:twoCellAnchor>
  <xdr:twoCellAnchor editAs="oneCell">
    <xdr:from>
      <xdr:col>0</xdr:col>
      <xdr:colOff>63500</xdr:colOff>
      <xdr:row>0</xdr:row>
      <xdr:rowOff>69851</xdr:rowOff>
    </xdr:from>
    <xdr:to>
      <xdr:col>3</xdr:col>
      <xdr:colOff>63500</xdr:colOff>
      <xdr:row>6</xdr:row>
      <xdr:rowOff>127001</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2069DF7E-85DE-4C7D-8C08-99DAD04B41B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3500" y="69851"/>
              <a:ext cx="1828800" cy="11620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20</xdr:row>
      <xdr:rowOff>82551</xdr:rowOff>
    </xdr:from>
    <xdr:to>
      <xdr:col>3</xdr:col>
      <xdr:colOff>31750</xdr:colOff>
      <xdr:row>23</xdr:row>
      <xdr:rowOff>152401</xdr:rowOff>
    </xdr:to>
    <mc:AlternateContent xmlns:mc="http://schemas.openxmlformats.org/markup-compatibility/2006" xmlns:a14="http://schemas.microsoft.com/office/drawing/2010/main">
      <mc:Choice Requires="a14">
        <xdr:graphicFrame macro="">
          <xdr:nvGraphicFramePr>
            <xdr:cNvPr id="13" name="Support_Structure_Name 1">
              <a:extLst>
                <a:ext uri="{FF2B5EF4-FFF2-40B4-BE49-F238E27FC236}">
                  <a16:creationId xmlns:a16="http://schemas.microsoft.com/office/drawing/2014/main" id="{08FAC66F-A6A0-443D-827D-1EBA8FAF986E}"/>
                </a:ext>
              </a:extLst>
            </xdr:cNvPr>
            <xdr:cNvGraphicFramePr/>
          </xdr:nvGraphicFramePr>
          <xdr:xfrm>
            <a:off x="0" y="0"/>
            <a:ext cx="0" cy="0"/>
          </xdr:xfrm>
          <a:graphic>
            <a:graphicData uri="http://schemas.microsoft.com/office/drawing/2010/slicer">
              <sle:slicer xmlns:sle="http://schemas.microsoft.com/office/drawing/2010/slicer" name="Support_Structure_Name 1"/>
            </a:graphicData>
          </a:graphic>
        </xdr:graphicFrame>
      </mc:Choice>
      <mc:Fallback xmlns="">
        <xdr:sp macro="" textlink="">
          <xdr:nvSpPr>
            <xdr:cNvPr id="0" name=""/>
            <xdr:cNvSpPr>
              <a:spLocks noTextEdit="1"/>
            </xdr:cNvSpPr>
          </xdr:nvSpPr>
          <xdr:spPr>
            <a:xfrm>
              <a:off x="95250" y="3765551"/>
              <a:ext cx="1765300" cy="6223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14</xdr:row>
      <xdr:rowOff>114301</xdr:rowOff>
    </xdr:from>
    <xdr:to>
      <xdr:col>3</xdr:col>
      <xdr:colOff>44450</xdr:colOff>
      <xdr:row>19</xdr:row>
      <xdr:rowOff>38100</xdr:rowOff>
    </xdr:to>
    <mc:AlternateContent xmlns:mc="http://schemas.openxmlformats.org/markup-compatibility/2006" xmlns:a14="http://schemas.microsoft.com/office/drawing/2010/main">
      <mc:Choice Requires="a14">
        <xdr:graphicFrame macro="">
          <xdr:nvGraphicFramePr>
            <xdr:cNvPr id="14" name="Support_Type 1">
              <a:extLst>
                <a:ext uri="{FF2B5EF4-FFF2-40B4-BE49-F238E27FC236}">
                  <a16:creationId xmlns:a16="http://schemas.microsoft.com/office/drawing/2014/main" id="{8C79D71F-C896-49B7-AD67-46068C4891A2}"/>
                </a:ext>
              </a:extLst>
            </xdr:cNvPr>
            <xdr:cNvGraphicFramePr/>
          </xdr:nvGraphicFramePr>
          <xdr:xfrm>
            <a:off x="0" y="0"/>
            <a:ext cx="0" cy="0"/>
          </xdr:xfrm>
          <a:graphic>
            <a:graphicData uri="http://schemas.microsoft.com/office/drawing/2010/slicer">
              <sle:slicer xmlns:sle="http://schemas.microsoft.com/office/drawing/2010/slicer" name="Support_Type 1"/>
            </a:graphicData>
          </a:graphic>
        </xdr:graphicFrame>
      </mc:Choice>
      <mc:Fallback xmlns="">
        <xdr:sp macro="" textlink="">
          <xdr:nvSpPr>
            <xdr:cNvPr id="0" name=""/>
            <xdr:cNvSpPr>
              <a:spLocks noTextEdit="1"/>
            </xdr:cNvSpPr>
          </xdr:nvSpPr>
          <xdr:spPr>
            <a:xfrm>
              <a:off x="95250" y="2692401"/>
              <a:ext cx="1778000" cy="8445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24</xdr:row>
      <xdr:rowOff>114301</xdr:rowOff>
    </xdr:from>
    <xdr:to>
      <xdr:col>3</xdr:col>
      <xdr:colOff>69850</xdr:colOff>
      <xdr:row>30</xdr:row>
      <xdr:rowOff>12701</xdr:rowOff>
    </xdr:to>
    <mc:AlternateContent xmlns:mc="http://schemas.openxmlformats.org/markup-compatibility/2006" xmlns:a14="http://schemas.microsoft.com/office/drawing/2010/main">
      <mc:Choice Requires="a14">
        <xdr:graphicFrame macro="">
          <xdr:nvGraphicFramePr>
            <xdr:cNvPr id="15" name="Is_Recurring 1">
              <a:extLst>
                <a:ext uri="{FF2B5EF4-FFF2-40B4-BE49-F238E27FC236}">
                  <a16:creationId xmlns:a16="http://schemas.microsoft.com/office/drawing/2014/main" id="{5465F807-7DBD-406B-BFA6-2DB895B2140C}"/>
                </a:ext>
              </a:extLst>
            </xdr:cNvPr>
            <xdr:cNvGraphicFramePr/>
          </xdr:nvGraphicFramePr>
          <xdr:xfrm>
            <a:off x="0" y="0"/>
            <a:ext cx="0" cy="0"/>
          </xdr:xfrm>
          <a:graphic>
            <a:graphicData uri="http://schemas.microsoft.com/office/drawing/2010/slicer">
              <sle:slicer xmlns:sle="http://schemas.microsoft.com/office/drawing/2010/slicer" name="Is_Recurring 1"/>
            </a:graphicData>
          </a:graphic>
        </xdr:graphicFrame>
      </mc:Choice>
      <mc:Fallback xmlns="">
        <xdr:sp macro="" textlink="">
          <xdr:nvSpPr>
            <xdr:cNvPr id="0" name=""/>
            <xdr:cNvSpPr>
              <a:spLocks noTextEdit="1"/>
            </xdr:cNvSpPr>
          </xdr:nvSpPr>
          <xdr:spPr>
            <a:xfrm>
              <a:off x="69850" y="4533901"/>
              <a:ext cx="1828800" cy="10033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7</xdr:row>
      <xdr:rowOff>133351</xdr:rowOff>
    </xdr:from>
    <xdr:to>
      <xdr:col>3</xdr:col>
      <xdr:colOff>44450</xdr:colOff>
      <xdr:row>13</xdr:row>
      <xdr:rowOff>152401</xdr:rowOff>
    </xdr:to>
    <mc:AlternateContent xmlns:mc="http://schemas.openxmlformats.org/markup-compatibility/2006" xmlns:a14="http://schemas.microsoft.com/office/drawing/2010/main">
      <mc:Choice Requires="a14">
        <xdr:graphicFrame macro="">
          <xdr:nvGraphicFramePr>
            <xdr:cNvPr id="16" name="Trend 1">
              <a:extLst>
                <a:ext uri="{FF2B5EF4-FFF2-40B4-BE49-F238E27FC236}">
                  <a16:creationId xmlns:a16="http://schemas.microsoft.com/office/drawing/2014/main" id="{AD4A9927-6B7B-4E7A-AAB1-616AC67AD537}"/>
                </a:ext>
              </a:extLst>
            </xdr:cNvPr>
            <xdr:cNvGraphicFramePr/>
          </xdr:nvGraphicFramePr>
          <xdr:xfrm>
            <a:off x="0" y="0"/>
            <a:ext cx="0" cy="0"/>
          </xdr:xfrm>
          <a:graphic>
            <a:graphicData uri="http://schemas.microsoft.com/office/drawing/2010/slicer">
              <sle:slicer xmlns:sle="http://schemas.microsoft.com/office/drawing/2010/slicer" name="Trend 1"/>
            </a:graphicData>
          </a:graphic>
        </xdr:graphicFrame>
      </mc:Choice>
      <mc:Fallback xmlns="">
        <xdr:sp macro="" textlink="">
          <xdr:nvSpPr>
            <xdr:cNvPr id="0" name=""/>
            <xdr:cNvSpPr>
              <a:spLocks noTextEdit="1"/>
            </xdr:cNvSpPr>
          </xdr:nvSpPr>
          <xdr:spPr>
            <a:xfrm>
              <a:off x="101600" y="1422401"/>
              <a:ext cx="1771650" cy="11239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177800</xdr:colOff>
      <xdr:row>8</xdr:row>
      <xdr:rowOff>31751</xdr:rowOff>
    </xdr:from>
    <xdr:to>
      <xdr:col>9</xdr:col>
      <xdr:colOff>152400</xdr:colOff>
      <xdr:row>18</xdr:row>
      <xdr:rowOff>158751</xdr:rowOff>
    </xdr:to>
    <xdr:graphicFrame macro="">
      <xdr:nvGraphicFramePr>
        <xdr:cNvPr id="17" name="Chart 16">
          <a:extLst>
            <a:ext uri="{FF2B5EF4-FFF2-40B4-BE49-F238E27FC236}">
              <a16:creationId xmlns:a16="http://schemas.microsoft.com/office/drawing/2014/main" id="{9F268DFD-2C07-4B74-91DF-3BE44F777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xdr:colOff>
      <xdr:row>8</xdr:row>
      <xdr:rowOff>19050</xdr:rowOff>
    </xdr:from>
    <xdr:to>
      <xdr:col>17</xdr:col>
      <xdr:colOff>349250</xdr:colOff>
      <xdr:row>19</xdr:row>
      <xdr:rowOff>0</xdr:rowOff>
    </xdr:to>
    <xdr:graphicFrame macro="">
      <xdr:nvGraphicFramePr>
        <xdr:cNvPr id="18" name="Chart 17">
          <a:extLst>
            <a:ext uri="{FF2B5EF4-FFF2-40B4-BE49-F238E27FC236}">
              <a16:creationId xmlns:a16="http://schemas.microsoft.com/office/drawing/2014/main" id="{EC91730E-B67C-48D0-A7F6-6D508405A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12700</xdr:colOff>
      <xdr:row>8</xdr:row>
      <xdr:rowOff>19050</xdr:rowOff>
    </xdr:from>
    <xdr:to>
      <xdr:col>7</xdr:col>
      <xdr:colOff>463550</xdr:colOff>
      <xdr:row>9</xdr:row>
      <xdr:rowOff>95250</xdr:rowOff>
    </xdr:to>
    <xdr:sp macro="" textlink="">
      <xdr:nvSpPr>
        <xdr:cNvPr id="20" name="TextBox 19">
          <a:extLst>
            <a:ext uri="{FF2B5EF4-FFF2-40B4-BE49-F238E27FC236}">
              <a16:creationId xmlns:a16="http://schemas.microsoft.com/office/drawing/2014/main" id="{5B7D0935-0F17-4AE5-B104-C67BB4071EE2}"/>
            </a:ext>
          </a:extLst>
        </xdr:cNvPr>
        <xdr:cNvSpPr txBox="1"/>
      </xdr:nvSpPr>
      <xdr:spPr>
        <a:xfrm>
          <a:off x="2451100" y="1492250"/>
          <a:ext cx="22796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2060"/>
              </a:solidFill>
            </a:rPr>
            <a:t>Trend over Time (Nominal vs Real)</a:t>
          </a:r>
          <a:endParaRPr lang="en-NG" sz="1100" b="1">
            <a:solidFill>
              <a:srgbClr val="002060"/>
            </a:solidFill>
          </a:endParaRPr>
        </a:p>
      </xdr:txBody>
    </xdr:sp>
    <xdr:clientData/>
  </xdr:twoCellAnchor>
  <xdr:twoCellAnchor>
    <xdr:from>
      <xdr:col>3</xdr:col>
      <xdr:colOff>158750</xdr:colOff>
      <xdr:row>19</xdr:row>
      <xdr:rowOff>158750</xdr:rowOff>
    </xdr:from>
    <xdr:to>
      <xdr:col>8</xdr:col>
      <xdr:colOff>266700</xdr:colOff>
      <xdr:row>30</xdr:row>
      <xdr:rowOff>127000</xdr:rowOff>
    </xdr:to>
    <xdr:graphicFrame macro="">
      <xdr:nvGraphicFramePr>
        <xdr:cNvPr id="21" name="Chart 20">
          <a:extLst>
            <a:ext uri="{FF2B5EF4-FFF2-40B4-BE49-F238E27FC236}">
              <a16:creationId xmlns:a16="http://schemas.microsoft.com/office/drawing/2014/main" id="{041C93F6-4921-4FBB-BACF-B17C6CE8A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514350</xdr:colOff>
      <xdr:row>20</xdr:row>
      <xdr:rowOff>12700</xdr:rowOff>
    </xdr:from>
    <xdr:to>
      <xdr:col>17</xdr:col>
      <xdr:colOff>393700</xdr:colOff>
      <xdr:row>30</xdr:row>
      <xdr:rowOff>133349</xdr:rowOff>
    </xdr:to>
    <xdr:graphicFrame macro="">
      <xdr:nvGraphicFramePr>
        <xdr:cNvPr id="22" name="Chart 21">
          <a:extLst>
            <a:ext uri="{FF2B5EF4-FFF2-40B4-BE49-F238E27FC236}">
              <a16:creationId xmlns:a16="http://schemas.microsoft.com/office/drawing/2014/main" id="{6AE09B36-7FD7-4F0B-A541-31E8B8112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247650</xdr:colOff>
      <xdr:row>7</xdr:row>
      <xdr:rowOff>139700</xdr:rowOff>
    </xdr:from>
    <xdr:to>
      <xdr:col>14</xdr:col>
      <xdr:colOff>114300</xdr:colOff>
      <xdr:row>10</xdr:row>
      <xdr:rowOff>0</xdr:rowOff>
    </xdr:to>
    <xdr:sp macro="" textlink="">
      <xdr:nvSpPr>
        <xdr:cNvPr id="23" name="TextBox 22">
          <a:extLst>
            <a:ext uri="{FF2B5EF4-FFF2-40B4-BE49-F238E27FC236}">
              <a16:creationId xmlns:a16="http://schemas.microsoft.com/office/drawing/2014/main" id="{A5327F45-5948-4B20-AD8D-9FD3720D9921}"/>
            </a:ext>
          </a:extLst>
        </xdr:cNvPr>
        <xdr:cNvSpPr txBox="1"/>
      </xdr:nvSpPr>
      <xdr:spPr>
        <a:xfrm>
          <a:off x="6343650" y="1428750"/>
          <a:ext cx="23050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2060"/>
              </a:solidFill>
              <a:effectLst/>
              <a:latin typeface="+mn-lt"/>
              <a:ea typeface="+mn-ea"/>
              <a:cs typeface="+mn-cs"/>
            </a:rPr>
            <a:t>Chart by Fuel Type</a:t>
          </a:r>
          <a:r>
            <a:rPr lang="en-US" sz="1200" b="1">
              <a:solidFill>
                <a:srgbClr val="002060"/>
              </a:solidFill>
            </a:rPr>
            <a:t> </a:t>
          </a:r>
          <a:endParaRPr lang="en-NG" sz="1200" b="1">
            <a:solidFill>
              <a:srgbClr val="002060"/>
            </a:solidFill>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0.30393</cdr:x>
      <cdr:y>0.01899</cdr:y>
    </cdr:from>
    <cdr:to>
      <cdr:x>0.88467</cdr:x>
      <cdr:y>0.26266</cdr:y>
    </cdr:to>
    <cdr:sp macro="" textlink="">
      <cdr:nvSpPr>
        <cdr:cNvPr id="3" name="TextBox 2">
          <a:extLst xmlns:a="http://schemas.openxmlformats.org/drawingml/2006/main">
            <a:ext uri="{FF2B5EF4-FFF2-40B4-BE49-F238E27FC236}">
              <a16:creationId xmlns:a16="http://schemas.microsoft.com/office/drawing/2014/main" id="{A8BF4FB6-6BC1-4DF6-8B0B-E7DB0475C61D}"/>
            </a:ext>
          </a:extLst>
        </cdr:cNvPr>
        <cdr:cNvSpPr txBox="1"/>
      </cdr:nvSpPr>
      <cdr:spPr>
        <a:xfrm xmlns:a="http://schemas.openxmlformats.org/drawingml/2006/main">
          <a:off x="1422400" y="38100"/>
          <a:ext cx="2717800" cy="488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G" sz="1100"/>
        </a:p>
      </cdr:txBody>
    </cdr:sp>
  </cdr:relSizeAnchor>
  <cdr:relSizeAnchor xmlns:cdr="http://schemas.openxmlformats.org/drawingml/2006/chartDrawing">
    <cdr:from>
      <cdr:x>0.01764</cdr:x>
      <cdr:y>0.01899</cdr:y>
    </cdr:from>
    <cdr:to>
      <cdr:x>0.33379</cdr:x>
      <cdr:y>0.14557</cdr:y>
    </cdr:to>
    <cdr:sp macro="" textlink="">
      <cdr:nvSpPr>
        <cdr:cNvPr id="5" name="TextBox 4">
          <a:extLst xmlns:a="http://schemas.openxmlformats.org/drawingml/2006/main">
            <a:ext uri="{FF2B5EF4-FFF2-40B4-BE49-F238E27FC236}">
              <a16:creationId xmlns:a16="http://schemas.microsoft.com/office/drawing/2014/main" id="{29F6A92A-4C3D-4D07-B7F7-15088968EBD8}"/>
            </a:ext>
          </a:extLst>
        </cdr:cNvPr>
        <cdr:cNvSpPr txBox="1"/>
      </cdr:nvSpPr>
      <cdr:spPr>
        <a:xfrm xmlns:a="http://schemas.openxmlformats.org/drawingml/2006/main">
          <a:off x="82550" y="38100"/>
          <a:ext cx="147955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G" sz="1100"/>
        </a:p>
      </cdr:txBody>
    </cdr:sp>
  </cdr:relSizeAnchor>
  <cdr:relSizeAnchor xmlns:cdr="http://schemas.openxmlformats.org/drawingml/2006/chartDrawing">
    <cdr:from>
      <cdr:x>0.64179</cdr:x>
      <cdr:y>0.0981</cdr:y>
    </cdr:from>
    <cdr:to>
      <cdr:x>0.99729</cdr:x>
      <cdr:y>0.21203</cdr:y>
    </cdr:to>
    <cdr:sp macro="" textlink="">
      <cdr:nvSpPr>
        <cdr:cNvPr id="6" name="TextBox 5">
          <a:extLst xmlns:a="http://schemas.openxmlformats.org/drawingml/2006/main">
            <a:ext uri="{FF2B5EF4-FFF2-40B4-BE49-F238E27FC236}">
              <a16:creationId xmlns:a16="http://schemas.microsoft.com/office/drawing/2014/main" id="{1CC82932-34F3-4064-8C40-C8AB4B3E5F6E}"/>
            </a:ext>
          </a:extLst>
        </cdr:cNvPr>
        <cdr:cNvSpPr txBox="1"/>
      </cdr:nvSpPr>
      <cdr:spPr>
        <a:xfrm xmlns:a="http://schemas.openxmlformats.org/drawingml/2006/main">
          <a:off x="3003550" y="196850"/>
          <a:ext cx="166370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G"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Turkiye%20Excel%20Project%20Work-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Data"/>
      <sheetName val="Master Table"/>
      <sheetName val="Assumptions Table"/>
      <sheetName val="Chart 1"/>
      <sheetName val="Chart 2"/>
      <sheetName val="Sheet1"/>
    </sheetNames>
    <sheetDataSet>
      <sheetData sheetId="0"/>
      <sheetData sheetId="1"/>
      <sheetData sheetId="2">
        <row r="2">
          <cell r="A2">
            <v>2020</v>
          </cell>
          <cell r="B2">
            <v>0.123</v>
          </cell>
          <cell r="C2">
            <v>100</v>
          </cell>
          <cell r="D2">
            <v>3.1714296119999994</v>
          </cell>
        </row>
        <row r="3">
          <cell r="A3">
            <v>2021</v>
          </cell>
          <cell r="B3">
            <v>0.19600000000000001</v>
          </cell>
          <cell r="C3">
            <v>119.6</v>
          </cell>
          <cell r="D3">
            <v>2.6516969999999995</v>
          </cell>
        </row>
        <row r="4">
          <cell r="A4">
            <v>2022</v>
          </cell>
          <cell r="B4">
            <v>0.72299999999999998</v>
          </cell>
          <cell r="C4">
            <v>206.07079999999996</v>
          </cell>
          <cell r="D4">
            <v>1.5389999999999999</v>
          </cell>
        </row>
        <row r="5">
          <cell r="A5">
            <v>2023</v>
          </cell>
          <cell r="B5">
            <v>0.53900000000000003</v>
          </cell>
          <cell r="C5">
            <v>317.14296119999995</v>
          </cell>
          <cell r="D5">
            <v>1</v>
          </cell>
        </row>
      </sheetData>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Turkiye%20Excel%20Project%20Work-1.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Turkiye%20Excel%20Project%20Work-1.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3.95174340278" createdVersion="6" refreshedVersion="6" minRefreshableVersion="3" recordCount="225" xr:uid="{8B60AC0A-9104-4145-85A4-EC4AFB1CD7FA}">
  <cacheSource type="worksheet">
    <worksheetSource ref="A1:T1048576" sheet="Sheet2"/>
  </cacheSource>
  <cacheFields count="20">
    <cacheField name="Year" numFmtId="0">
      <sharedItems containsString="0" containsBlank="1" containsNumber="1" containsInteger="1" minValue="2020" maxValue="2023" count="5">
        <n v="2022"/>
        <n v="2023"/>
        <n v="2020"/>
        <n v="2021"/>
        <m/>
      </sharedItems>
    </cacheField>
    <cacheField name="Decade" numFmtId="0">
      <sharedItems containsString="0" containsBlank="1" containsNumber="1" containsInteger="1" minValue="2020" maxValue="2020"/>
    </cacheField>
    <cacheField name="Support_Structure_Name" numFmtId="0">
      <sharedItems containsBlank="1" count="2">
        <s v="Fossil Fuel Support - TÃ¼rkiye"/>
        <m/>
      </sharedItems>
    </cacheField>
    <cacheField name="Frequency" numFmtId="0">
      <sharedItems containsBlank="1"/>
    </cacheField>
    <cacheField name="Instrument_Code" numFmtId="0">
      <sharedItems containsBlank="1" count="27">
        <s v="TUR_TE_17"/>
        <s v="TUR_DT_03"/>
        <s v="TUR_TE_21"/>
        <s v="TUR_TE_08"/>
        <s v="TUR_TE_18"/>
        <s v="TUR_TE_02"/>
        <s v="TUR_TE_12"/>
        <s v="TUR_TE_09"/>
        <s v="TUR_DT_07"/>
        <s v="TUR_DT_02"/>
        <s v="TUR_TE_04"/>
        <s v="TUR_DT_05"/>
        <s v="TUR_TE_06"/>
        <s v="TUR_TE_15"/>
        <s v="TUR_DT_01"/>
        <s v="TUR_TE_19"/>
        <s v="TUR_TE_11"/>
        <s v="TUR_DT_08"/>
        <s v="TUR_TE_14"/>
        <s v="TUR_TE_05"/>
        <s v="TUR_TE_20"/>
        <s v="TUR_TE_07"/>
        <s v="TUR_DT_09"/>
        <s v="TUR_TE_16"/>
        <s v="TUR_TE_13"/>
        <s v="TUR_TE_10"/>
        <m/>
      </sharedItems>
    </cacheField>
    <cacheField name="Instrument_Description" numFmtId="0">
      <sharedItems containsBlank="1"/>
    </cacheField>
    <cacheField name="Fossil_Fuel_Type" numFmtId="0">
      <sharedItems containsBlank="1"/>
    </cacheField>
    <cacheField name="Support_Type" numFmtId="0">
      <sharedItems containsBlank="1" count="3">
        <s v="Tax Relief"/>
        <s v="Other Support Type"/>
        <m/>
      </sharedItems>
    </cacheField>
    <cacheField name="Observation_Value" numFmtId="0">
      <sharedItems containsString="0" containsBlank="1" containsNumber="1" containsInteger="1" minValue="4665" maxValue="9483763505"/>
    </cacheField>
    <cacheField name="Observation_Value_Numeric" numFmtId="0">
      <sharedItems containsString="0" containsBlank="1" containsNumber="1" containsInteger="1" minValue="4665" maxValue="9483763505"/>
    </cacheField>
    <cacheField name="Monetary_Impact" numFmtId="0">
      <sharedItems containsBlank="1"/>
    </cacheField>
    <cacheField name="YoY_Change" numFmtId="0">
      <sharedItems containsString="0" containsBlank="1" containsNumber="1" minValue="-99.982947678261695" maxValue="360780.25128205097"/>
    </cacheField>
    <cacheField name="Is_Recurring" numFmtId="0">
      <sharedItems containsBlank="1"/>
    </cacheField>
    <cacheField name="Support_Duration_Years" numFmtId="0">
      <sharedItems containsString="0" containsBlank="1" containsNumber="1" containsInteger="1" minValue="4" maxValue="4"/>
    </cacheField>
    <cacheField name="Average_Annual_Support" numFmtId="0">
      <sharedItems containsString="0" containsBlank="1" containsNumber="1" minValue="64491.166666666599" maxValue="4078783500"/>
    </cacheField>
    <cacheField name="Trend" numFmtId="0">
      <sharedItems containsBlank="1"/>
    </cacheField>
    <cacheField name="Observation_Status" numFmtId="0">
      <sharedItems containsBlank="1"/>
    </cacheField>
    <cacheField name="Nominal TRY" numFmtId="0">
      <sharedItems containsString="0" containsBlank="1" containsNumber="1" containsInteger="1" minValue="4665" maxValue="9483763505"/>
    </cacheField>
    <cacheField name="Real 2023 TRY" numFmtId="0">
      <sharedItems containsBlank="1"/>
    </cacheField>
    <cacheField name="USD Equivalen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3.956202662041" createdVersion="6" refreshedVersion="6" minRefreshableVersion="3" recordCount="105" xr:uid="{9FF22222-EE67-456C-8E1B-E4FEAA3ABBB1}">
  <cacheSource type="worksheet">
    <worksheetSource ref="A1:H1048576" sheet="Sheet5"/>
  </cacheSource>
  <cacheFields count="8">
    <cacheField name="Year" numFmtId="0">
      <sharedItems containsString="0" containsBlank="1" containsNumber="1" containsInteger="1" minValue="2020" maxValue="2023" count="5">
        <n v="2020"/>
        <n v="2021"/>
        <n v="2022"/>
        <n v="2023"/>
        <m/>
      </sharedItems>
    </cacheField>
    <cacheField name="Instrument_Code" numFmtId="0">
      <sharedItems containsBlank="1" count="27">
        <s v="TUR_DT_01"/>
        <s v="TUR_DT_09"/>
        <s v="TUR_DT_02"/>
        <s v="TUR_DT_05"/>
        <s v="TUR_TE_15"/>
        <s v="TUR_TE_13"/>
        <s v="TUR_TE_10"/>
        <s v="TUR_TE_07"/>
        <s v="TUR_TE_09"/>
        <s v="TUR_TE_14"/>
        <s v="TUR_TE_11"/>
        <s v="TUR_TE_12"/>
        <s v="TUR_TE_02"/>
        <s v="TUR_TE_08"/>
        <s v="TUR_DT_07"/>
        <s v="TUR_TE_16"/>
        <s v="TUR_TE_20"/>
        <s v="TUR_TE_19"/>
        <s v="TUR_TE_21"/>
        <s v="TUR_DT_08"/>
        <s v="TUR_DT_03"/>
        <s v="TUR_TE_06"/>
        <s v="TUR_TE_04"/>
        <s v="TUR_TE_05"/>
        <s v="TUR_TE_17"/>
        <s v="TUR_TE_18"/>
        <m/>
      </sharedItems>
    </cacheField>
    <cacheField name="Instrument_Description" numFmtId="0">
      <sharedItems containsBlank="1"/>
    </cacheField>
    <cacheField name="Fossil_Fuel_Type" numFmtId="0">
      <sharedItems containsBlank="1" count="6">
        <s v="Coal"/>
        <s v="Natural Gas"/>
        <s v="General Fossil Fuel Support"/>
        <s v="Fuel"/>
        <s v="Oil"/>
        <m/>
      </sharedItems>
    </cacheField>
    <cacheField name="Support_Type" numFmtId="0">
      <sharedItems containsBlank="1" count="3">
        <s v="Other Support Type"/>
        <s v="Tax Relief"/>
        <m/>
      </sharedItems>
    </cacheField>
    <cacheField name="Norminal TRY" numFmtId="0">
      <sharedItems containsString="0" containsBlank="1" containsNumber="1" containsInteger="1" minValue="271493" maxValue="10293509000"/>
    </cacheField>
    <cacheField name="Real 2023 TRY" numFmtId="0">
      <sharedItems containsString="0" containsBlank="1" containsNumber="1" minValue="315848" maxValue="26741266145.451931"/>
    </cacheField>
    <cacheField name="YoY% Change" numFmtId="0">
      <sharedItems containsBlank="1" containsMixedTypes="1" containsNumber="1" minValue="-0.91591604682670547" maxValue="1292.143420484349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3.392261805559" createdVersion="6" refreshedVersion="6" minRefreshableVersion="3" recordCount="104" xr:uid="{40E37D44-E123-4A8B-82D7-091F917FEA01}">
  <cacheSource type="worksheet">
    <worksheetSource name="Table3" r:id="rId2"/>
  </cacheSource>
  <cacheFields count="8">
    <cacheField name="Year" numFmtId="0">
      <sharedItems containsSemiMixedTypes="0" containsString="0" containsNumber="1" containsInteger="1" minValue="2020" maxValue="2023" count="4">
        <n v="2020"/>
        <n v="2021"/>
        <n v="2022"/>
        <n v="2023"/>
      </sharedItems>
    </cacheField>
    <cacheField name="Instrument_Code" numFmtId="0">
      <sharedItems count="26">
        <s v="TUR_DT_01"/>
        <s v="TUR_DT_09"/>
        <s v="TUR_DT_02"/>
        <s v="TUR_DT_05"/>
        <s v="TUR_TE_15"/>
        <s v="TUR_TE_13"/>
        <s v="TUR_TE_10"/>
        <s v="TUR_TE_07"/>
        <s v="TUR_TE_09"/>
        <s v="TUR_TE_14"/>
        <s v="TUR_TE_11"/>
        <s v="TUR_TE_12"/>
        <s v="TUR_TE_02"/>
        <s v="TUR_TE_08"/>
        <s v="TUR_DT_07"/>
        <s v="TUR_TE_16"/>
        <s v="TUR_TE_20"/>
        <s v="TUR_TE_19"/>
        <s v="TUR_TE_21"/>
        <s v="TUR_DT_08"/>
        <s v="TUR_DT_03"/>
        <s v="TUR_TE_06"/>
        <s v="TUR_TE_04"/>
        <s v="TUR_TE_05"/>
        <s v="TUR_TE_17"/>
        <s v="TUR_TE_18"/>
      </sharedItems>
    </cacheField>
    <cacheField name="Instrument_Description" numFmtId="0">
      <sharedItems count="26">
        <s v="Aid to the Hard Coal Industry"/>
        <s v="Capacity mechanism payments for Natural Gas"/>
        <s v="Coal Aid to Poor Families (source: Treasury)"/>
        <s v="Construction of Coal Thermal Plants"/>
        <s v="Corporate Income Tax Rate Reduction"/>
        <s v="Fuel Tax Exemption for Diesel Blended with Domestically Sourced Biodiesel"/>
        <s v="Fuel Tax Exemption for Diesel Used by Export Vehicles"/>
        <s v="Fuel Tax Exemption for Domestic Commercial Aviation"/>
        <s v="Fuel Tax Exemption for Fuel Oil and Diesel Used for Electricity Generation"/>
        <s v="Fuel Tax Exemption for LPG Used in Aerosol Production"/>
        <s v="Fuel Tax Exemption for LPG Used in Ethylene Production"/>
        <s v="Fuel Tax Exemption for Naphta, Petroleum Coke and Petroleum Bitumen"/>
        <s v="Fuel Tax Exemption for Ships in Cabotage Lines"/>
        <s v="Fuel Tax Exemption for Vehicles Used for National Security"/>
        <s v="Personal Income Tax exemption for underground workers"/>
        <s v="Personal Income Withholding Tax Support for Investments with Incentive Certificates"/>
        <s v="Personel Income Withholding Tax Support for R&amp;D personnel"/>
        <s v="R&amp;D Tax credits in Law No:5746 Article 3/1"/>
        <s v="R&amp;D Tax credits in Law No:5746 Article 3/A"/>
        <s v="Strategic communication for increasing mining, domestic coal and  nuclear activities"/>
        <s v="Support for Domestic Oil, Natural Gas and Coal Exploration"/>
        <s v="Tax Exemption for LPG Consumption"/>
        <s v="Tax Exemption for Oil and Gas Exploration and Transportation"/>
        <s v="Tax Exemption for the Transportation and Distribution of Oil and Gas"/>
        <s v="Value Added Tax Exemption for Imported and/or Locally Provided Investment Machinery within the Scope of Incentive Certificates"/>
        <s v="Value Added Tax refund for building and construction expenses for the investments to be realized within the scope of investment incentive certificate"/>
      </sharedItems>
    </cacheField>
    <cacheField name="Fossil_Fuel_Type" numFmtId="0">
      <sharedItems count="5">
        <s v="Coal"/>
        <s v="Natural Gas"/>
        <s v="General Fossil Fuel Support"/>
        <s v="Fuel"/>
        <s v="Oil"/>
      </sharedItems>
    </cacheField>
    <cacheField name="Support_Type" numFmtId="0">
      <sharedItems count="2">
        <s v="Other Support Type"/>
        <s v="Tax Relief"/>
      </sharedItems>
    </cacheField>
    <cacheField name="Norminal TRY" numFmtId="0">
      <sharedItems containsSemiMixedTypes="0" containsString="0" containsNumber="1" containsInteger="1" minValue="271493" maxValue="10293509000"/>
    </cacheField>
    <cacheField name="Real 2023 TRY" numFmtId="0">
      <sharedItems containsSemiMixedTypes="0" containsString="0" containsNumber="1" minValue="315848" maxValue="26741266145.451931"/>
    </cacheField>
    <cacheField name="YoY% Change" numFmtId="0">
      <sharedItems containsMixedTypes="1" containsNumber="1" minValue="-0.91591604682670547" maxValue="1292.143420484349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3.392261805559" createdVersion="6" refreshedVersion="6" minRefreshableVersion="3" recordCount="104" xr:uid="{7BD1BA40-0C04-4997-9DCF-194CCACA46B5}">
  <cacheSource type="worksheet">
    <worksheetSource name="Table3" r:id="rId2"/>
  </cacheSource>
  <cacheFields count="8">
    <cacheField name="Year" numFmtId="0">
      <sharedItems containsSemiMixedTypes="0" containsString="0" containsNumber="1" containsInteger="1" minValue="2020" maxValue="2023" count="4">
        <n v="2020"/>
        <n v="2021"/>
        <n v="2022"/>
        <n v="2023"/>
      </sharedItems>
    </cacheField>
    <cacheField name="Instrument_Code" numFmtId="0">
      <sharedItems count="26">
        <s v="TUR_DT_01"/>
        <s v="TUR_DT_09"/>
        <s v="TUR_DT_02"/>
        <s v="TUR_DT_05"/>
        <s v="TUR_TE_15"/>
        <s v="TUR_TE_13"/>
        <s v="TUR_TE_10"/>
        <s v="TUR_TE_07"/>
        <s v="TUR_TE_09"/>
        <s v="TUR_TE_14"/>
        <s v="TUR_TE_11"/>
        <s v="TUR_TE_12"/>
        <s v="TUR_TE_02"/>
        <s v="TUR_TE_08"/>
        <s v="TUR_DT_07"/>
        <s v="TUR_TE_16"/>
        <s v="TUR_TE_20"/>
        <s v="TUR_TE_19"/>
        <s v="TUR_TE_21"/>
        <s v="TUR_DT_08"/>
        <s v="TUR_DT_03"/>
        <s v="TUR_TE_06"/>
        <s v="TUR_TE_04"/>
        <s v="TUR_TE_05"/>
        <s v="TUR_TE_17"/>
        <s v="TUR_TE_18"/>
      </sharedItems>
    </cacheField>
    <cacheField name="Instrument_Description" numFmtId="0">
      <sharedItems count="26">
        <s v="Aid to the Hard Coal Industry"/>
        <s v="Capacity mechanism payments for Natural Gas"/>
        <s v="Coal Aid to Poor Families (source: Treasury)"/>
        <s v="Construction of Coal Thermal Plants"/>
        <s v="Corporate Income Tax Rate Reduction"/>
        <s v="Fuel Tax Exemption for Diesel Blended with Domestically Sourced Biodiesel"/>
        <s v="Fuel Tax Exemption for Diesel Used by Export Vehicles"/>
        <s v="Fuel Tax Exemption for Domestic Commercial Aviation"/>
        <s v="Fuel Tax Exemption for Fuel Oil and Diesel Used for Electricity Generation"/>
        <s v="Fuel Tax Exemption for LPG Used in Aerosol Production"/>
        <s v="Fuel Tax Exemption for LPG Used in Ethylene Production"/>
        <s v="Fuel Tax Exemption for Naphta, Petroleum Coke and Petroleum Bitumen"/>
        <s v="Fuel Tax Exemption for Ships in Cabotage Lines"/>
        <s v="Fuel Tax Exemption for Vehicles Used for National Security"/>
        <s v="Personal Income Tax exemption for underground workers"/>
        <s v="Personal Income Withholding Tax Support for Investments with Incentive Certificates"/>
        <s v="Personel Income Withholding Tax Support for R&amp;D personnel"/>
        <s v="R&amp;D Tax credits in Law No:5746 Article 3/1"/>
        <s v="R&amp;D Tax credits in Law No:5746 Article 3/A"/>
        <s v="Strategic communication for increasing mining, domestic coal and  nuclear activities"/>
        <s v="Support for Domestic Oil, Natural Gas and Coal Exploration"/>
        <s v="Tax Exemption for LPG Consumption"/>
        <s v="Tax Exemption for Oil and Gas Exploration and Transportation"/>
        <s v="Tax Exemption for the Transportation and Distribution of Oil and Gas"/>
        <s v="Value Added Tax Exemption for Imported and/or Locally Provided Investment Machinery within the Scope of Incentive Certificates"/>
        <s v="Value Added Tax refund for building and construction expenses for the investments to be realized within the scope of investment incentive certificate"/>
      </sharedItems>
    </cacheField>
    <cacheField name="Fossil_Fuel_Type" numFmtId="0">
      <sharedItems count="5">
        <s v="Coal"/>
        <s v="Natural Gas"/>
        <s v="General Fossil Fuel Support"/>
        <s v="Fuel"/>
        <s v="Oil"/>
      </sharedItems>
    </cacheField>
    <cacheField name="Support_Type" numFmtId="0">
      <sharedItems count="2">
        <s v="Other Support Type"/>
        <s v="Tax Relief"/>
      </sharedItems>
    </cacheField>
    <cacheField name="Norminal TRY" numFmtId="0">
      <sharedItems containsSemiMixedTypes="0" containsString="0" containsNumber="1" containsInteger="1" minValue="271493" maxValue="10293509000"/>
    </cacheField>
    <cacheField name="Real 2023 TRY" numFmtId="0">
      <sharedItems containsSemiMixedTypes="0" containsString="0" containsNumber="1" minValue="315848" maxValue="26741266145.451931"/>
    </cacheField>
    <cacheField name="YoY% Change" numFmtId="0">
      <sharedItems containsMixedTypes="1" containsNumber="1" minValue="-0.91591604682670547" maxValue="1292.143420484349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4.063751504633" createdVersion="6" refreshedVersion="6" minRefreshableVersion="3" recordCount="225" xr:uid="{87040FC3-633E-4105-A67C-FE0A634249B4}">
  <cacheSource type="worksheet">
    <worksheetSource ref="A1:T1048576" sheet="Master Sheet"/>
  </cacheSource>
  <cacheFields count="20">
    <cacheField name="Year" numFmtId="0">
      <sharedItems containsString="0" containsBlank="1" containsNumber="1" containsInteger="1" minValue="2020" maxValue="2023" count="5">
        <n v="2022"/>
        <n v="2023"/>
        <n v="2020"/>
        <n v="2021"/>
        <m/>
      </sharedItems>
    </cacheField>
    <cacheField name="Decade" numFmtId="0">
      <sharedItems containsString="0" containsBlank="1" containsNumber="1" containsInteger="1" minValue="2020" maxValue="2020" count="2">
        <n v="2020"/>
        <m/>
      </sharedItems>
    </cacheField>
    <cacheField name="Support_Structure_Name" numFmtId="0">
      <sharedItems containsBlank="1" count="2">
        <s v="Fossil Fuel Support - TÃ¼rkiye"/>
        <m/>
      </sharedItems>
    </cacheField>
    <cacheField name="Frequency" numFmtId="0">
      <sharedItems containsBlank="1"/>
    </cacheField>
    <cacheField name="Instrument_Code" numFmtId="0">
      <sharedItems containsBlank="1"/>
    </cacheField>
    <cacheField name="Instrument_Description" numFmtId="0">
      <sharedItems containsBlank="1"/>
    </cacheField>
    <cacheField name="Fossil_Fuel_Type" numFmtId="0">
      <sharedItems containsBlank="1" count="6">
        <s v="General Fossil Fuel Support"/>
        <s v="Oil"/>
        <s v="Fuel"/>
        <s v="Coal"/>
        <s v="Natural Gas"/>
        <m/>
      </sharedItems>
    </cacheField>
    <cacheField name="Support_Type" numFmtId="0">
      <sharedItems containsBlank="1" count="3">
        <s v="Tax Relief"/>
        <s v="Other Support Type"/>
        <m/>
      </sharedItems>
    </cacheField>
    <cacheField name="Observation_Value" numFmtId="0">
      <sharedItems containsString="0" containsBlank="1" containsNumber="1" containsInteger="1" minValue="4665" maxValue="9483763505"/>
    </cacheField>
    <cacheField name="Observation_Value_Numeric" numFmtId="0">
      <sharedItems containsString="0" containsBlank="1" containsNumber="1" containsInteger="1" minValue="4665" maxValue="9483763505"/>
    </cacheField>
    <cacheField name="Monetary_Impact" numFmtId="0">
      <sharedItems containsBlank="1"/>
    </cacheField>
    <cacheField name="YoY_Change" numFmtId="0">
      <sharedItems containsString="0" containsBlank="1" containsNumber="1" minValue="-99.982947678261695" maxValue="360780.25128205097"/>
    </cacheField>
    <cacheField name="Is_Recurring" numFmtId="0">
      <sharedItems containsBlank="1" count="2">
        <b v="1"/>
        <m/>
      </sharedItems>
    </cacheField>
    <cacheField name="Support_Duration_Years" numFmtId="0">
      <sharedItems containsString="0" containsBlank="1" containsNumber="1" containsInteger="1" minValue="4" maxValue="4"/>
    </cacheField>
    <cacheField name="Average_Annual_Support" numFmtId="0">
      <sharedItems containsString="0" containsBlank="1" containsNumber="1" minValue="64491.166666666599" maxValue="4078783500"/>
    </cacheField>
    <cacheField name="Trend" numFmtId="0">
      <sharedItems containsBlank="1" count="4">
        <s v="Increasing"/>
        <s v="Decreasing"/>
        <s v="Stable"/>
        <m/>
      </sharedItems>
    </cacheField>
    <cacheField name="Observation_Status" numFmtId="0">
      <sharedItems containsBlank="1"/>
    </cacheField>
    <cacheField name="Nominal TRY" numFmtId="0">
      <sharedItems containsString="0" containsBlank="1" containsNumber="1" containsInteger="1" minValue="4665" maxValue="9483763505"/>
    </cacheField>
    <cacheField name="Real 2023 TRY" numFmtId="0">
      <sharedItems containsBlank="1"/>
    </cacheField>
    <cacheField name="USD Equivalent" numFmtId="0">
      <sharedItems containsBlank="1"/>
    </cacheField>
  </cacheFields>
  <extLst>
    <ext xmlns:x14="http://schemas.microsoft.com/office/spreadsheetml/2009/9/main" uri="{725AE2AE-9491-48be-B2B4-4EB974FC3084}">
      <x14:pivotCacheDefinition pivotCacheId="1685215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x v="0"/>
    <n v="2020"/>
    <x v="0"/>
    <s v="Annual"/>
    <x v="0"/>
    <s v="Value Added Tax Exemption for Imported and/or Locally Provided Investment Machinery within the Scope of Incentive Certificates"/>
    <s v="General Fossil Fuel Support"/>
    <x v="0"/>
    <n v="18739507"/>
    <n v="18739507"/>
    <s v="Medium Impact"/>
    <m/>
    <b v="1"/>
    <n v="4"/>
    <n v="99912404.875"/>
    <s v="Increasing"/>
    <s v="A"/>
    <n v="18739507"/>
    <e v="#NAME?"/>
    <e v="#NAME?"/>
  </r>
  <r>
    <x v="1"/>
    <n v="2020"/>
    <x v="0"/>
    <s v="Annual"/>
    <x v="0"/>
    <s v="Value Added Tax Exemption for Imported and/or Locally Provided Investment Machinery within the Scope of Incentive Certificates"/>
    <s v="General Fossil Fuel Support"/>
    <x v="0"/>
    <n v="703716490"/>
    <n v="703716490"/>
    <s v="High Impact"/>
    <n v="3655.25615481773"/>
    <b v="1"/>
    <n v="4"/>
    <n v="99912404.875"/>
    <s v="Increasing"/>
    <s v="A"/>
    <n v="703716490"/>
    <e v="#NAME?"/>
    <e v="#NAME?"/>
  </r>
  <r>
    <x v="2"/>
    <n v="2020"/>
    <x v="0"/>
    <s v="Annual"/>
    <x v="1"/>
    <s v="Support for Domestic Oil, Natural Gas and Coal Exploration"/>
    <s v="Oil"/>
    <x v="1"/>
    <n v="19535"/>
    <n v="19535"/>
    <s v="Low Impact"/>
    <m/>
    <b v="1"/>
    <n v="4"/>
    <n v="64491.166666666599"/>
    <s v="Increasing"/>
    <s v="A"/>
    <n v="19535"/>
    <e v="#NAME?"/>
    <e v="#NAME?"/>
  </r>
  <r>
    <x v="3"/>
    <n v="2020"/>
    <x v="0"/>
    <s v="Annual"/>
    <x v="2"/>
    <s v="R&amp;D Tax credits in Law No:5746 Article 3/A"/>
    <s v="General Fossil Fuel Support"/>
    <x v="0"/>
    <n v="159295"/>
    <n v="159295"/>
    <s v="Low Impact"/>
    <m/>
    <b v="1"/>
    <n v="4"/>
    <n v="153547.625"/>
    <s v="Decreasing"/>
    <s v="A"/>
    <n v="159295"/>
    <e v="#NAME?"/>
    <e v="#NAME?"/>
  </r>
  <r>
    <x v="0"/>
    <n v="2020"/>
    <x v="0"/>
    <s v="Annual"/>
    <x v="2"/>
    <s v="R&amp;D Tax credits in Law No:5746 Article 3/A"/>
    <s v="General Fossil Fuel Support"/>
    <x v="0"/>
    <n v="171181"/>
    <n v="171181"/>
    <s v="Low Impact"/>
    <n v="7.4616277974826497"/>
    <b v="1"/>
    <n v="4"/>
    <n v="153547.625"/>
    <s v="Decreasing"/>
    <s v="A"/>
    <n v="171181"/>
    <e v="#NAME?"/>
    <e v="#NAME?"/>
  </r>
  <r>
    <x v="3"/>
    <n v="2020"/>
    <x v="0"/>
    <s v="Annual"/>
    <x v="3"/>
    <s v="Fuel Tax Exemption for Vehicles Used for National Security"/>
    <s v="Fuel"/>
    <x v="0"/>
    <n v="703716490"/>
    <n v="703716490"/>
    <s v="High Impact"/>
    <m/>
    <b v="1"/>
    <n v="4"/>
    <n v="703716490"/>
    <s v="Stable"/>
    <s v="A"/>
    <n v="703716490"/>
    <e v="#NAME?"/>
    <e v="#NAME?"/>
  </r>
  <r>
    <x v="3"/>
    <n v="2020"/>
    <x v="0"/>
    <s v="Annual"/>
    <x v="4"/>
    <s v="Value Added Tax refund for building and construction expenses for the investments to be realized within the scope of investment incentive certificate"/>
    <s v="General Fossil Fuel Support"/>
    <x v="0"/>
    <n v="349985"/>
    <n v="349985"/>
    <s v="Low Impact"/>
    <m/>
    <b v="1"/>
    <n v="4"/>
    <n v="88658573"/>
    <s v="Increasing"/>
    <s v="A"/>
    <n v="349985"/>
    <e v="#NAME?"/>
    <e v="#NAME?"/>
  </r>
  <r>
    <x v="1"/>
    <n v="2020"/>
    <x v="0"/>
    <s v="Annual"/>
    <x v="5"/>
    <s v="Fuel Tax Exemption for Ships in Cabotage Lines"/>
    <s v="Fuel"/>
    <x v="0"/>
    <n v="1717747000"/>
    <n v="1717747000"/>
    <s v="High Impact"/>
    <m/>
    <b v="1"/>
    <n v="4"/>
    <n v="769230750"/>
    <s v="Decreasing"/>
    <s v="A"/>
    <n v="1717747000"/>
    <e v="#NAME?"/>
    <e v="#NAME?"/>
  </r>
  <r>
    <x v="2"/>
    <n v="2020"/>
    <x v="0"/>
    <s v="Annual"/>
    <x v="5"/>
    <s v="Fuel Tax Exemption for Ships in Cabotage Lines"/>
    <s v="Fuel"/>
    <x v="0"/>
    <n v="633403000"/>
    <n v="633403000"/>
    <s v="High Impact"/>
    <n v="-63.125943459659602"/>
    <b v="1"/>
    <n v="4"/>
    <n v="769230750"/>
    <s v="Decreasing"/>
    <s v="A"/>
    <n v="633403000"/>
    <e v="#NAME?"/>
    <e v="#NAME?"/>
  </r>
  <r>
    <x v="0"/>
    <n v="2020"/>
    <x v="0"/>
    <s v="Annual"/>
    <x v="1"/>
    <s v="Support for Domestic Oil, Natural Gas and Coal Exploration"/>
    <s v="Oil"/>
    <x v="1"/>
    <n v="9442"/>
    <n v="9442"/>
    <s v="Low Impact"/>
    <n v="-51.666240081904199"/>
    <b v="1"/>
    <n v="4"/>
    <n v="64491.166666666599"/>
    <s v="Increasing"/>
    <s v="A"/>
    <n v="9442"/>
    <e v="#NAME?"/>
    <e v="#NAME?"/>
  </r>
  <r>
    <x v="1"/>
    <n v="2020"/>
    <x v="0"/>
    <s v="Annual"/>
    <x v="1"/>
    <s v="Support for Domestic Oil, Natural Gas and Coal Exploration"/>
    <s v="Oil"/>
    <x v="1"/>
    <n v="9887"/>
    <n v="9887"/>
    <s v="Low Impact"/>
    <n v="4.7129845371743198"/>
    <b v="1"/>
    <n v="4"/>
    <n v="64491.166666666599"/>
    <s v="Increasing"/>
    <s v="A"/>
    <n v="9887"/>
    <e v="#NAME?"/>
    <e v="#NAME?"/>
  </r>
  <r>
    <x v="2"/>
    <n v="2020"/>
    <x v="0"/>
    <s v="Annual"/>
    <x v="1"/>
    <s v="Support for Domestic Oil, Natural Gas and Coal Exploration"/>
    <s v="Oil"/>
    <x v="1"/>
    <n v="7423"/>
    <n v="7423"/>
    <s v="Low Impact"/>
    <n v="-24.921614240922398"/>
    <b v="1"/>
    <n v="4"/>
    <n v="64491.166666666599"/>
    <s v="Increasing"/>
    <s v="A"/>
    <n v="7423"/>
    <e v="#NAME?"/>
    <e v="#NAME?"/>
  </r>
  <r>
    <x v="0"/>
    <n v="2020"/>
    <x v="0"/>
    <s v="Annual"/>
    <x v="6"/>
    <s v="Fuel Tax Exemption for Naphta, Petroleum Coke and Petroleum Bitumen"/>
    <s v="Fuel"/>
    <x v="0"/>
    <n v="1762107952"/>
    <n v="1762107952"/>
    <s v="High Impact"/>
    <m/>
    <b v="1"/>
    <n v="4"/>
    <n v="2578410250"/>
    <s v="Increasing"/>
    <s v="A"/>
    <n v="1762107952"/>
    <e v="#NAME?"/>
    <e v="#NAME?"/>
  </r>
  <r>
    <x v="1"/>
    <n v="2020"/>
    <x v="0"/>
    <s v="Annual"/>
    <x v="6"/>
    <s v="Fuel Tax Exemption for Naphta, Petroleum Coke and Petroleum Bitumen"/>
    <s v="Fuel"/>
    <x v="0"/>
    <n v="2204386837"/>
    <n v="2204386837"/>
    <s v="High Impact"/>
    <n v="25.0994205263083"/>
    <b v="1"/>
    <n v="4"/>
    <n v="2578410250"/>
    <s v="Increasing"/>
    <s v="A"/>
    <n v="2204386837"/>
    <e v="#NAME?"/>
    <e v="#NAME?"/>
  </r>
  <r>
    <x v="2"/>
    <n v="2020"/>
    <x v="0"/>
    <s v="Annual"/>
    <x v="6"/>
    <s v="Fuel Tax Exemption for Naphta, Petroleum Coke and Petroleum Bitumen"/>
    <s v="Fuel"/>
    <x v="0"/>
    <n v="2391909741"/>
    <n v="2391909741"/>
    <s v="High Impact"/>
    <n v="8.5068056501010592"/>
    <b v="1"/>
    <n v="4"/>
    <n v="2578410250"/>
    <s v="Increasing"/>
    <s v="A"/>
    <n v="2391909741"/>
    <e v="#NAME?"/>
    <e v="#NAME?"/>
  </r>
  <r>
    <x v="0"/>
    <n v="2020"/>
    <x v="0"/>
    <s v="Annual"/>
    <x v="7"/>
    <s v="Fuel Tax Exemption for Fuel Oil and Diesel Used for Electricity Generation"/>
    <s v="Oil"/>
    <x v="0"/>
    <n v="703716490"/>
    <n v="703716490"/>
    <s v="High Impact"/>
    <m/>
    <b v="1"/>
    <n v="4"/>
    <n v="703716490"/>
    <s v="Stable"/>
    <s v="A"/>
    <n v="703716490"/>
    <e v="#NAME?"/>
    <e v="#NAME?"/>
  </r>
  <r>
    <x v="1"/>
    <n v="2020"/>
    <x v="0"/>
    <s v="Annual"/>
    <x v="7"/>
    <s v="Fuel Tax Exemption for Fuel Oil and Diesel Used for Electricity Generation"/>
    <s v="Oil"/>
    <x v="0"/>
    <n v="703716490"/>
    <n v="703716490"/>
    <s v="High Impact"/>
    <m/>
    <b v="1"/>
    <n v="4"/>
    <n v="703716490"/>
    <s v="Stable"/>
    <s v="A"/>
    <n v="703716490"/>
    <e v="#NAME?"/>
    <e v="#NAME?"/>
  </r>
  <r>
    <x v="0"/>
    <n v="2020"/>
    <x v="0"/>
    <s v="Annual"/>
    <x v="1"/>
    <s v="Support for Domestic Oil, Natural Gas and Coal Exploration"/>
    <s v="Oil"/>
    <x v="1"/>
    <n v="8330"/>
    <n v="8330"/>
    <s v="Low Impact"/>
    <n v="12.218779469217299"/>
    <b v="1"/>
    <n v="4"/>
    <n v="64491.166666666599"/>
    <s v="Increasing"/>
    <s v="A"/>
    <n v="8330"/>
    <e v="#NAME?"/>
    <e v="#NAME?"/>
  </r>
  <r>
    <x v="1"/>
    <n v="2020"/>
    <x v="0"/>
    <s v="Annual"/>
    <x v="1"/>
    <s v="Support for Domestic Oil, Natural Gas and Coal Exploration"/>
    <s v="Oil"/>
    <x v="1"/>
    <n v="8723"/>
    <n v="8723"/>
    <s v="Low Impact"/>
    <n v="4.7178871548619403"/>
    <b v="1"/>
    <n v="4"/>
    <n v="64491.166666666599"/>
    <s v="Increasing"/>
    <s v="A"/>
    <n v="8723"/>
    <e v="#NAME?"/>
    <e v="#NAME?"/>
  </r>
  <r>
    <x v="2"/>
    <n v="2020"/>
    <x v="0"/>
    <s v="Annual"/>
    <x v="3"/>
    <s v="Fuel Tax Exemption for Vehicles Used for National Security"/>
    <s v="Fuel"/>
    <x v="0"/>
    <n v="703716490"/>
    <n v="703716490"/>
    <s v="High Impact"/>
    <m/>
    <b v="1"/>
    <n v="4"/>
    <n v="703716490"/>
    <s v="Stable"/>
    <s v="A"/>
    <n v="703716490"/>
    <e v="#NAME?"/>
    <e v="#NAME?"/>
  </r>
  <r>
    <x v="0"/>
    <n v="2020"/>
    <x v="0"/>
    <s v="Annual"/>
    <x v="4"/>
    <s v="Value Added Tax refund for building and construction expenses for the investments to be realized within the scope of investment incentive certificate"/>
    <s v="General Fossil Fuel Support"/>
    <x v="0"/>
    <n v="1938019"/>
    <n v="1938019"/>
    <s v="Medium Impact"/>
    <n v="453.743446147692"/>
    <b v="1"/>
    <n v="4"/>
    <n v="88658573"/>
    <s v="Increasing"/>
    <s v="A"/>
    <n v="1938019"/>
    <e v="#NAME?"/>
    <e v="#NAME?"/>
  </r>
  <r>
    <x v="1"/>
    <n v="2020"/>
    <x v="0"/>
    <s v="Annual"/>
    <x v="4"/>
    <s v="Value Added Tax refund for building and construction expenses for the investments to be realized within the scope of investment incentive certificate"/>
    <s v="General Fossil Fuel Support"/>
    <x v="0"/>
    <n v="703716490"/>
    <n v="703716490"/>
    <s v="High Impact"/>
    <n v="36211.124400741101"/>
    <b v="1"/>
    <n v="4"/>
    <n v="88658573"/>
    <s v="Increasing"/>
    <s v="A"/>
    <n v="703716490"/>
    <e v="#NAME?"/>
    <e v="#NAME?"/>
  </r>
  <r>
    <x v="2"/>
    <n v="2020"/>
    <x v="0"/>
    <s v="Annual"/>
    <x v="4"/>
    <s v="Value Added Tax refund for building and construction expenses for the investments to be realized within the scope of investment incentive certificate"/>
    <s v="General Fossil Fuel Support"/>
    <x v="0"/>
    <n v="179901"/>
    <n v="179901"/>
    <s v="Low Impact"/>
    <n v="-99.974435585557998"/>
    <b v="1"/>
    <n v="4"/>
    <n v="88658573"/>
    <s v="Increasing"/>
    <s v="A"/>
    <n v="179901"/>
    <e v="#NAME?"/>
    <e v="#NAME?"/>
  </r>
  <r>
    <x v="1"/>
    <n v="2020"/>
    <x v="0"/>
    <s v="Annual"/>
    <x v="8"/>
    <s v="Personal Income Tax exemption for underground workers"/>
    <s v="General Fossil Fuel Support"/>
    <x v="0"/>
    <n v="703716490"/>
    <n v="703716490"/>
    <s v="High Impact"/>
    <m/>
    <b v="1"/>
    <n v="4"/>
    <n v="190634414.125"/>
    <s v="Increasing"/>
    <s v="A"/>
    <n v="703716490"/>
    <e v="#NAME?"/>
    <e v="#NAME?"/>
  </r>
  <r>
    <x v="2"/>
    <n v="2020"/>
    <x v="0"/>
    <s v="Annual"/>
    <x v="8"/>
    <s v="Personal Income Tax exemption for underground workers"/>
    <s v="General Fossil Fuel Support"/>
    <x v="0"/>
    <n v="1423529"/>
    <n v="1423529"/>
    <s v="Medium Impact"/>
    <n v="-99.797712712402102"/>
    <b v="1"/>
    <n v="4"/>
    <n v="190634414.125"/>
    <s v="Increasing"/>
    <s v="A"/>
    <n v="1423529"/>
    <e v="#NAME?"/>
    <e v="#NAME?"/>
  </r>
  <r>
    <x v="3"/>
    <n v="2020"/>
    <x v="0"/>
    <s v="Annual"/>
    <x v="8"/>
    <s v="Personal Income Tax exemption for underground workers"/>
    <s v="General Fossil Fuel Support"/>
    <x v="0"/>
    <n v="1937403"/>
    <n v="1937403"/>
    <s v="Medium Impact"/>
    <n v="36.0985972186024"/>
    <b v="1"/>
    <n v="4"/>
    <n v="190634414.125"/>
    <s v="Increasing"/>
    <s v="A"/>
    <n v="1937403"/>
    <e v="#NAME?"/>
    <e v="#NAME?"/>
  </r>
  <r>
    <x v="0"/>
    <n v="2020"/>
    <x v="0"/>
    <s v="Annual"/>
    <x v="9"/>
    <s v="Coal Aid to Poor Families (source: Treasury)"/>
    <s v="Coal"/>
    <x v="1"/>
    <n v="1771500000"/>
    <n v="1771500000"/>
    <s v="High Impact"/>
    <m/>
    <b v="1"/>
    <n v="4"/>
    <n v="1289654122.5"/>
    <s v="Increasing"/>
    <s v="A"/>
    <n v="1771500000"/>
    <e v="#NAME?"/>
    <e v="#NAME?"/>
  </r>
  <r>
    <x v="1"/>
    <n v="2020"/>
    <x v="0"/>
    <s v="Annual"/>
    <x v="9"/>
    <s v="Coal Aid to Poor Families (source: Treasury)"/>
    <s v="Coal"/>
    <x v="1"/>
    <n v="703716490"/>
    <n v="703716490"/>
    <s v="High Impact"/>
    <n v="-60.275670900366897"/>
    <b v="1"/>
    <n v="4"/>
    <n v="1289654122.5"/>
    <s v="Increasing"/>
    <s v="A"/>
    <n v="703716490"/>
    <e v="#NAME?"/>
    <e v="#NAME?"/>
  </r>
  <r>
    <x v="2"/>
    <n v="2020"/>
    <x v="0"/>
    <s v="Annual"/>
    <x v="9"/>
    <s v="Coal Aid to Poor Families (source: Treasury)"/>
    <s v="Coal"/>
    <x v="1"/>
    <n v="1215000000"/>
    <n v="1215000000"/>
    <s v="High Impact"/>
    <n v="72.654757599896499"/>
    <b v="1"/>
    <n v="4"/>
    <n v="1289654122.5"/>
    <s v="Increasing"/>
    <s v="A"/>
    <n v="1215000000"/>
    <e v="#NAME?"/>
    <e v="#NAME?"/>
  </r>
  <r>
    <x v="0"/>
    <n v="2020"/>
    <x v="0"/>
    <s v="Annual"/>
    <x v="8"/>
    <s v="Personal Income Tax exemption for underground workers"/>
    <s v="General Fossil Fuel Support"/>
    <x v="0"/>
    <n v="2518340"/>
    <n v="2518340"/>
    <s v="Medium Impact"/>
    <n v="29.985346363146899"/>
    <b v="1"/>
    <n v="4"/>
    <n v="190634414.125"/>
    <s v="Increasing"/>
    <s v="A"/>
    <n v="2518340"/>
    <e v="#NAME?"/>
    <e v="#NAME?"/>
  </r>
  <r>
    <x v="1"/>
    <n v="2020"/>
    <x v="0"/>
    <s v="Annual"/>
    <x v="8"/>
    <s v="Personal Income Tax exemption for underground workers"/>
    <s v="General Fossil Fuel Support"/>
    <x v="0"/>
    <n v="703716490"/>
    <n v="703716490"/>
    <s v="High Impact"/>
    <n v="27843.664874480801"/>
    <b v="1"/>
    <n v="4"/>
    <n v="190634414.125"/>
    <s v="Increasing"/>
    <s v="A"/>
    <n v="703716490"/>
    <e v="#NAME?"/>
    <e v="#NAME?"/>
  </r>
  <r>
    <x v="2"/>
    <n v="2020"/>
    <x v="0"/>
    <s v="Annual"/>
    <x v="8"/>
    <s v="Personal Income Tax exemption for underground workers"/>
    <s v="General Fossil Fuel Support"/>
    <x v="0"/>
    <n v="5961462"/>
    <n v="5961462"/>
    <s v="Medium Impact"/>
    <n v="-99.152860266213096"/>
    <b v="1"/>
    <n v="4"/>
    <n v="190634414.125"/>
    <s v="Increasing"/>
    <s v="A"/>
    <n v="5961462"/>
    <e v="#NAME?"/>
    <e v="#NAME?"/>
  </r>
  <r>
    <x v="0"/>
    <n v="2020"/>
    <x v="0"/>
    <s v="Annual"/>
    <x v="10"/>
    <s v="Tax Exemption for Oil and Gas Exploration and Transportation"/>
    <s v="Oil"/>
    <x v="0"/>
    <n v="809745495"/>
    <n v="809745495"/>
    <s v="High Impact"/>
    <m/>
    <b v="1"/>
    <n v="4"/>
    <n v="2742906750"/>
    <s v="Increasing"/>
    <s v="A"/>
    <n v="809745495"/>
    <e v="#NAME?"/>
    <e v="#NAME?"/>
  </r>
  <r>
    <x v="1"/>
    <n v="2020"/>
    <x v="0"/>
    <s v="Annual"/>
    <x v="10"/>
    <s v="Tax Exemption for Oil and Gas Exploration and Transportation"/>
    <s v="Oil"/>
    <x v="0"/>
    <n v="754824605"/>
    <n v="754824605"/>
    <s v="High Impact"/>
    <n v="-6.7824878729334603"/>
    <b v="1"/>
    <n v="4"/>
    <n v="2742906750"/>
    <s v="Increasing"/>
    <s v="A"/>
    <n v="754824605"/>
    <e v="#NAME?"/>
    <e v="#NAME?"/>
  </r>
  <r>
    <x v="2"/>
    <n v="2020"/>
    <x v="0"/>
    <s v="Annual"/>
    <x v="10"/>
    <s v="Tax Exemption for Oil and Gas Exploration and Transportation"/>
    <s v="Oil"/>
    <x v="0"/>
    <n v="73988630"/>
    <n v="73988630"/>
    <s v="Medium Impact"/>
    <n v="-90.197904319772405"/>
    <b v="1"/>
    <n v="4"/>
    <n v="2742906750"/>
    <s v="Increasing"/>
    <s v="A"/>
    <n v="73988630"/>
    <e v="#NAME?"/>
    <e v="#NAME?"/>
  </r>
  <r>
    <x v="0"/>
    <n v="2020"/>
    <x v="0"/>
    <s v="Annual"/>
    <x v="11"/>
    <s v="Construction of Coal Thermal Plants"/>
    <s v="Coal"/>
    <x v="1"/>
    <n v="703716490"/>
    <n v="703716490"/>
    <s v="High Impact"/>
    <m/>
    <b v="1"/>
    <n v="4"/>
    <n v="703716490"/>
    <s v="Stable"/>
    <s v="A"/>
    <n v="703716490"/>
    <e v="#NAME?"/>
    <e v="#NAME?"/>
  </r>
  <r>
    <x v="1"/>
    <n v="2020"/>
    <x v="0"/>
    <s v="Annual"/>
    <x v="11"/>
    <s v="Construction of Coal Thermal Plants"/>
    <s v="Coal"/>
    <x v="1"/>
    <n v="703716490"/>
    <n v="703716490"/>
    <s v="High Impact"/>
    <m/>
    <b v="1"/>
    <n v="4"/>
    <n v="703716490"/>
    <s v="Stable"/>
    <s v="A"/>
    <n v="703716490"/>
    <e v="#NAME?"/>
    <e v="#NAME?"/>
  </r>
  <r>
    <x v="2"/>
    <n v="2020"/>
    <x v="0"/>
    <s v="Annual"/>
    <x v="11"/>
    <s v="Construction of Coal Thermal Plants"/>
    <s v="Coal"/>
    <x v="1"/>
    <n v="703716490"/>
    <n v="703716490"/>
    <s v="High Impact"/>
    <m/>
    <b v="1"/>
    <n v="4"/>
    <n v="703716490"/>
    <s v="Stable"/>
    <s v="A"/>
    <n v="703716490"/>
    <e v="#NAME?"/>
    <e v="#NAME?"/>
  </r>
  <r>
    <x v="0"/>
    <n v="2020"/>
    <x v="0"/>
    <s v="Annual"/>
    <x v="12"/>
    <s v="Tax Exemption for LPG Consumption"/>
    <s v="General Fossil Fuel Support"/>
    <x v="0"/>
    <n v="703716490"/>
    <n v="703716490"/>
    <s v="High Impact"/>
    <m/>
    <b v="1"/>
    <n v="4"/>
    <n v="703716490"/>
    <s v="Stable"/>
    <s v="A"/>
    <n v="703716490"/>
    <e v="#NAME?"/>
    <e v="#NAME?"/>
  </r>
  <r>
    <x v="1"/>
    <n v="2020"/>
    <x v="0"/>
    <s v="Annual"/>
    <x v="12"/>
    <s v="Tax Exemption for LPG Consumption"/>
    <s v="General Fossil Fuel Support"/>
    <x v="0"/>
    <n v="703716490"/>
    <n v="703716490"/>
    <s v="High Impact"/>
    <m/>
    <b v="1"/>
    <n v="4"/>
    <n v="703716490"/>
    <s v="Stable"/>
    <s v="A"/>
    <n v="703716490"/>
    <e v="#NAME?"/>
    <e v="#NAME?"/>
  </r>
  <r>
    <x v="2"/>
    <n v="2020"/>
    <x v="0"/>
    <s v="Annual"/>
    <x v="12"/>
    <s v="Tax Exemption for LPG Consumption"/>
    <s v="General Fossil Fuel Support"/>
    <x v="0"/>
    <n v="703716490"/>
    <n v="703716490"/>
    <s v="High Impact"/>
    <m/>
    <b v="1"/>
    <n v="4"/>
    <n v="703716490"/>
    <s v="Stable"/>
    <s v="A"/>
    <n v="703716490"/>
    <e v="#NAME?"/>
    <e v="#NAME?"/>
  </r>
  <r>
    <x v="1"/>
    <n v="2020"/>
    <x v="0"/>
    <s v="Annual"/>
    <x v="2"/>
    <s v="R&amp;D Tax credits in Law No:5746 Article 3/A"/>
    <s v="General Fossil Fuel Support"/>
    <x v="0"/>
    <n v="157924"/>
    <n v="157924"/>
    <s v="Low Impact"/>
    <n v="-7.7444342538015301"/>
    <b v="1"/>
    <n v="4"/>
    <n v="153547.625"/>
    <s v="Decreasing"/>
    <s v="A"/>
    <n v="157924"/>
    <e v="#NAME?"/>
    <e v="#NAME?"/>
  </r>
  <r>
    <x v="0"/>
    <n v="2020"/>
    <x v="0"/>
    <s v="Annual"/>
    <x v="5"/>
    <s v="Fuel Tax Exemption for Ships in Cabotage Lines"/>
    <s v="Fuel"/>
    <x v="0"/>
    <n v="557796000"/>
    <n v="557796000"/>
    <s v="High Impact"/>
    <n v="-11.936634338643801"/>
    <b v="1"/>
    <n v="4"/>
    <n v="769230750"/>
    <s v="Decreasing"/>
    <s v="A"/>
    <n v="557796000"/>
    <e v="#NAME?"/>
    <e v="#NAME?"/>
  </r>
  <r>
    <x v="0"/>
    <n v="2020"/>
    <x v="0"/>
    <s v="Annual"/>
    <x v="13"/>
    <s v="Corporate Income Tax Rate Reduction"/>
    <s v="General Fossil Fuel Support"/>
    <x v="0"/>
    <n v="79051739"/>
    <n v="79051739"/>
    <s v="Medium Impact"/>
    <m/>
    <b v="1"/>
    <n v="4"/>
    <n v="140908336.375"/>
    <s v="Increasing"/>
    <s v="A"/>
    <n v="79051739"/>
    <e v="#NAME?"/>
    <e v="#NAME?"/>
  </r>
  <r>
    <x v="1"/>
    <n v="2020"/>
    <x v="0"/>
    <s v="Annual"/>
    <x v="13"/>
    <s v="Corporate Income Tax Rate Reduction"/>
    <s v="General Fossil Fuel Support"/>
    <x v="0"/>
    <n v="703716490"/>
    <n v="703716490"/>
    <s v="High Impact"/>
    <n v="790.19735543072602"/>
    <b v="1"/>
    <n v="4"/>
    <n v="140908336.375"/>
    <s v="Increasing"/>
    <s v="A"/>
    <n v="703716490"/>
    <e v="#NAME?"/>
    <e v="#NAME?"/>
  </r>
  <r>
    <x v="2"/>
    <n v="2020"/>
    <x v="0"/>
    <s v="Annual"/>
    <x v="13"/>
    <s v="Corporate Income Tax Rate Reduction"/>
    <s v="General Fossil Fuel Support"/>
    <x v="0"/>
    <n v="50020000"/>
    <n v="50020000"/>
    <s v="Medium Impact"/>
    <n v="-92.892023888767994"/>
    <b v="1"/>
    <n v="4"/>
    <n v="140908336.375"/>
    <s v="Increasing"/>
    <s v="A"/>
    <n v="50020000"/>
    <e v="#NAME?"/>
    <e v="#NAME?"/>
  </r>
  <r>
    <x v="0"/>
    <n v="2020"/>
    <x v="0"/>
    <s v="Annual"/>
    <x v="1"/>
    <s v="Support for Domestic Oil, Natural Gas and Coal Exploration"/>
    <s v="Oil"/>
    <x v="1"/>
    <n v="299410"/>
    <n v="299410"/>
    <s v="Low Impact"/>
    <n v="3332.4200389774101"/>
    <b v="1"/>
    <n v="4"/>
    <n v="64491.166666666599"/>
    <s v="Increasing"/>
    <s v="A"/>
    <n v="299410"/>
    <e v="#NAME?"/>
    <e v="#NAME?"/>
  </r>
  <r>
    <x v="1"/>
    <n v="2020"/>
    <x v="0"/>
    <s v="Annual"/>
    <x v="1"/>
    <s v="Support for Domestic Oil, Natural Gas and Coal Exploration"/>
    <s v="Oil"/>
    <x v="1"/>
    <n v="313526"/>
    <n v="313526"/>
    <s v="Low Impact"/>
    <n v="4.71460539060151"/>
    <b v="1"/>
    <n v="4"/>
    <n v="64491.166666666599"/>
    <s v="Increasing"/>
    <s v="A"/>
    <n v="313526"/>
    <e v="#NAME?"/>
    <e v="#NAME?"/>
  </r>
  <r>
    <x v="2"/>
    <n v="2020"/>
    <x v="0"/>
    <s v="Annual"/>
    <x v="1"/>
    <s v="Support for Domestic Oil, Natural Gas and Coal Exploration"/>
    <s v="Oil"/>
    <x v="1"/>
    <n v="256548"/>
    <n v="256548"/>
    <s v="Low Impact"/>
    <n v="-18.173293442967999"/>
    <b v="1"/>
    <n v="4"/>
    <n v="64491.166666666599"/>
    <s v="Increasing"/>
    <s v="A"/>
    <n v="256548"/>
    <e v="#NAME?"/>
    <e v="#NAME?"/>
  </r>
  <r>
    <x v="0"/>
    <n v="2020"/>
    <x v="0"/>
    <s v="Annual"/>
    <x v="4"/>
    <s v="Value Added Tax refund for building and construction expenses for the investments to be realized within the scope of investment incentive certificate"/>
    <s v="General Fossil Fuel Support"/>
    <x v="0"/>
    <n v="690786"/>
    <n v="690786"/>
    <s v="Low Impact"/>
    <n v="283.98118965430899"/>
    <b v="1"/>
    <n v="4"/>
    <n v="88658573"/>
    <s v="Increasing"/>
    <s v="A"/>
    <n v="690786"/>
    <e v="#NAME?"/>
    <e v="#NAME?"/>
  </r>
  <r>
    <x v="1"/>
    <n v="2020"/>
    <x v="0"/>
    <s v="Annual"/>
    <x v="4"/>
    <s v="Value Added Tax refund for building and construction expenses for the investments to be realized within the scope of investment incentive certificate"/>
    <s v="General Fossil Fuel Support"/>
    <x v="0"/>
    <n v="2146469"/>
    <n v="2146469"/>
    <s v="Medium Impact"/>
    <n v="210.72850347285501"/>
    <b v="1"/>
    <n v="4"/>
    <n v="88658573"/>
    <s v="Increasing"/>
    <s v="A"/>
    <n v="2146469"/>
    <e v="#NAME?"/>
    <e v="#NAME?"/>
  </r>
  <r>
    <x v="2"/>
    <n v="2020"/>
    <x v="0"/>
    <s v="Annual"/>
    <x v="4"/>
    <s v="Value Added Tax refund for building and construction expenses for the investments to be realized within the scope of investment incentive certificate"/>
    <s v="General Fossil Fuel Support"/>
    <x v="0"/>
    <n v="110432"/>
    <n v="110432"/>
    <s v="Low Impact"/>
    <n v="-94.855178434908595"/>
    <b v="1"/>
    <n v="4"/>
    <n v="88658573"/>
    <s v="Increasing"/>
    <s v="A"/>
    <n v="110432"/>
    <e v="#NAME?"/>
    <e v="#NAME?"/>
  </r>
  <r>
    <x v="0"/>
    <n v="2020"/>
    <x v="0"/>
    <s v="Annual"/>
    <x v="14"/>
    <s v="Aid to the Hard Coal Industry"/>
    <s v="Coal"/>
    <x v="1"/>
    <n v="864041149"/>
    <n v="864041149"/>
    <s v="High Impact"/>
    <m/>
    <b v="1"/>
    <n v="4"/>
    <n v="738429122.5"/>
    <s v="Decreasing"/>
    <s v="A"/>
    <n v="864041149"/>
    <e v="#NAME?"/>
    <e v="#NAME?"/>
  </r>
  <r>
    <x v="1"/>
    <n v="2020"/>
    <x v="0"/>
    <s v="Annual"/>
    <x v="14"/>
    <s v="Aid to the Hard Coal Industry"/>
    <s v="Coal"/>
    <x v="1"/>
    <n v="703716490"/>
    <n v="703716490"/>
    <s v="High Impact"/>
    <n v="-18.555211078263099"/>
    <b v="1"/>
    <n v="4"/>
    <n v="738429122.5"/>
    <s v="Decreasing"/>
    <s v="A"/>
    <n v="703716490"/>
    <e v="#NAME?"/>
    <e v="#NAME?"/>
  </r>
  <r>
    <x v="2"/>
    <n v="2020"/>
    <x v="0"/>
    <s v="Annual"/>
    <x v="14"/>
    <s v="Aid to the Hard Coal Industry"/>
    <s v="Coal"/>
    <x v="1"/>
    <n v="921168645"/>
    <n v="921168645"/>
    <s v="High Impact"/>
    <n v="30.900534247818999"/>
    <b v="1"/>
    <n v="4"/>
    <n v="738429122.5"/>
    <s v="Decreasing"/>
    <s v="A"/>
    <n v="921168645"/>
    <e v="#NAME?"/>
    <e v="#NAME?"/>
  </r>
  <r>
    <x v="0"/>
    <n v="2020"/>
    <x v="0"/>
    <s v="Annual"/>
    <x v="11"/>
    <s v="Construction of Coal Thermal Plants"/>
    <s v="Coal"/>
    <x v="1"/>
    <n v="703716490"/>
    <n v="703716490"/>
    <s v="High Impact"/>
    <m/>
    <b v="1"/>
    <n v="4"/>
    <n v="703716490"/>
    <s v="Stable"/>
    <s v="A"/>
    <n v="703716490"/>
    <e v="#NAME?"/>
    <e v="#NAME?"/>
  </r>
  <r>
    <x v="1"/>
    <n v="2020"/>
    <x v="0"/>
    <s v="Annual"/>
    <x v="11"/>
    <s v="Construction of Coal Thermal Plants"/>
    <s v="Coal"/>
    <x v="1"/>
    <n v="703716490"/>
    <n v="703716490"/>
    <s v="High Impact"/>
    <m/>
    <b v="1"/>
    <n v="4"/>
    <n v="703716490"/>
    <s v="Stable"/>
    <s v="A"/>
    <n v="703716490"/>
    <e v="#NAME?"/>
    <e v="#NAME?"/>
  </r>
  <r>
    <x v="2"/>
    <n v="2020"/>
    <x v="0"/>
    <s v="Annual"/>
    <x v="11"/>
    <s v="Construction of Coal Thermal Plants"/>
    <s v="Coal"/>
    <x v="1"/>
    <n v="703716490"/>
    <n v="703716490"/>
    <s v="High Impact"/>
    <m/>
    <b v="1"/>
    <n v="4"/>
    <n v="703716490"/>
    <s v="Stable"/>
    <s v="A"/>
    <n v="703716490"/>
    <e v="#NAME?"/>
    <e v="#NAME?"/>
  </r>
  <r>
    <x v="0"/>
    <n v="2020"/>
    <x v="0"/>
    <s v="Annual"/>
    <x v="1"/>
    <s v="Support for Domestic Oil, Natural Gas and Coal Exploration"/>
    <s v="Oil"/>
    <x v="1"/>
    <n v="6950"/>
    <n v="6950"/>
    <s v="Low Impact"/>
    <n v="-97.290955298813401"/>
    <b v="1"/>
    <n v="4"/>
    <n v="64491.166666666599"/>
    <s v="Increasing"/>
    <s v="A"/>
    <n v="6950"/>
    <e v="#NAME?"/>
    <e v="#NAME?"/>
  </r>
  <r>
    <x v="1"/>
    <n v="2020"/>
    <x v="0"/>
    <s v="Annual"/>
    <x v="1"/>
    <s v="Support for Domestic Oil, Natural Gas and Coal Exploration"/>
    <s v="Oil"/>
    <x v="1"/>
    <n v="7277"/>
    <n v="7277"/>
    <s v="Low Impact"/>
    <n v="4.7050359712230199"/>
    <b v="1"/>
    <n v="4"/>
    <n v="64491.166666666599"/>
    <s v="Increasing"/>
    <s v="A"/>
    <n v="7277"/>
    <e v="#NAME?"/>
    <e v="#NAME?"/>
  </r>
  <r>
    <x v="2"/>
    <n v="2020"/>
    <x v="0"/>
    <s v="Annual"/>
    <x v="1"/>
    <s v="Support for Domestic Oil, Natural Gas and Coal Exploration"/>
    <s v="Oil"/>
    <x v="1"/>
    <n v="4665"/>
    <n v="4665"/>
    <s v="Low Impact"/>
    <n v="-35.893912326508101"/>
    <b v="1"/>
    <n v="4"/>
    <n v="64491.166666666599"/>
    <s v="Increasing"/>
    <s v="A"/>
    <n v="4665"/>
    <e v="#NAME?"/>
    <e v="#NAME?"/>
  </r>
  <r>
    <x v="0"/>
    <n v="2020"/>
    <x v="0"/>
    <s v="Annual"/>
    <x v="15"/>
    <s v="R&amp;D Tax credits in Law No:5746 Article 3/1"/>
    <s v="General Fossil Fuel Support"/>
    <x v="0"/>
    <n v="2930865"/>
    <n v="2930865"/>
    <s v="Medium Impact"/>
    <m/>
    <b v="1"/>
    <n v="4"/>
    <n v="2167758.375"/>
    <s v="Increasing"/>
    <s v="A"/>
    <n v="2930865"/>
    <e v="#NAME?"/>
    <e v="#NAME?"/>
  </r>
  <r>
    <x v="1"/>
    <n v="2020"/>
    <x v="0"/>
    <s v="Annual"/>
    <x v="15"/>
    <s v="R&amp;D Tax credits in Law No:5746 Article 3/1"/>
    <s v="General Fossil Fuel Support"/>
    <x v="0"/>
    <n v="2147166"/>
    <n v="2147166"/>
    <s v="Medium Impact"/>
    <n v="-26.739512055314702"/>
    <b v="1"/>
    <n v="4"/>
    <n v="2167758.375"/>
    <s v="Increasing"/>
    <s v="A"/>
    <n v="2147166"/>
    <e v="#NAME?"/>
    <e v="#NAME?"/>
  </r>
  <r>
    <x v="2"/>
    <n v="2020"/>
    <x v="0"/>
    <s v="Annual"/>
    <x v="15"/>
    <s v="R&amp;D Tax credits in Law No:5746 Article 3/1"/>
    <s v="General Fossil Fuel Support"/>
    <x v="0"/>
    <n v="1364589"/>
    <n v="1364589"/>
    <s v="Medium Impact"/>
    <n v="-36.446972427842098"/>
    <b v="1"/>
    <n v="4"/>
    <n v="2167758.375"/>
    <s v="Increasing"/>
    <s v="A"/>
    <n v="1364589"/>
    <e v="#NAME?"/>
    <e v="#NAME?"/>
  </r>
  <r>
    <x v="3"/>
    <n v="2020"/>
    <x v="0"/>
    <s v="Annual"/>
    <x v="8"/>
    <s v="Personal Income Tax exemption for underground workers"/>
    <s v="General Fossil Fuel Support"/>
    <x v="0"/>
    <n v="1884699"/>
    <n v="1884699"/>
    <s v="Medium Impact"/>
    <n v="-68.385288709380305"/>
    <b v="1"/>
    <n v="4"/>
    <n v="190634414.125"/>
    <s v="Increasing"/>
    <s v="A"/>
    <n v="1884699"/>
    <e v="#NAME?"/>
    <e v="#NAME?"/>
  </r>
  <r>
    <x v="0"/>
    <n v="2020"/>
    <x v="0"/>
    <s v="Annual"/>
    <x v="8"/>
    <s v="Personal Income Tax exemption for underground workers"/>
    <s v="General Fossil Fuel Support"/>
    <x v="0"/>
    <n v="1875645"/>
    <n v="1875645"/>
    <s v="Medium Impact"/>
    <n v="-0.480395012678414"/>
    <b v="1"/>
    <n v="4"/>
    <n v="190634414.125"/>
    <s v="Increasing"/>
    <s v="A"/>
    <n v="1875645"/>
    <e v="#NAME?"/>
    <e v="#NAME?"/>
  </r>
  <r>
    <x v="1"/>
    <n v="2020"/>
    <x v="0"/>
    <s v="Annual"/>
    <x v="8"/>
    <s v="Personal Income Tax exemption for underground workers"/>
    <s v="General Fossil Fuel Support"/>
    <x v="0"/>
    <n v="703716490"/>
    <n v="703716490"/>
    <s v="High Impact"/>
    <n v="37418.639721269203"/>
    <b v="1"/>
    <n v="4"/>
    <n v="190634414.125"/>
    <s v="Increasing"/>
    <s v="A"/>
    <n v="703716490"/>
    <e v="#NAME?"/>
    <e v="#NAME?"/>
  </r>
  <r>
    <x v="0"/>
    <n v="2020"/>
    <x v="0"/>
    <s v="Annual"/>
    <x v="16"/>
    <s v="Fuel Tax Exemption for LPG Used in Ethylene Production"/>
    <s v="Fuel"/>
    <x v="0"/>
    <n v="703716490"/>
    <n v="703716490"/>
    <s v="High Impact"/>
    <m/>
    <b v="1"/>
    <n v="4"/>
    <n v="703716490"/>
    <s v="Stable"/>
    <s v="A"/>
    <n v="703716490"/>
    <e v="#NAME?"/>
    <e v="#NAME?"/>
  </r>
  <r>
    <x v="1"/>
    <n v="2020"/>
    <x v="0"/>
    <s v="Annual"/>
    <x v="16"/>
    <s v="Fuel Tax Exemption for LPG Used in Ethylene Production"/>
    <s v="Fuel"/>
    <x v="0"/>
    <n v="703716490"/>
    <n v="703716490"/>
    <s v="High Impact"/>
    <m/>
    <b v="1"/>
    <n v="4"/>
    <n v="703716490"/>
    <s v="Stable"/>
    <s v="A"/>
    <n v="703716490"/>
    <e v="#NAME?"/>
    <e v="#NAME?"/>
  </r>
  <r>
    <x v="2"/>
    <n v="2020"/>
    <x v="0"/>
    <s v="Annual"/>
    <x v="16"/>
    <s v="Fuel Tax Exemption for LPG Used in Ethylene Production"/>
    <s v="Fuel"/>
    <x v="0"/>
    <n v="703716490"/>
    <n v="703716490"/>
    <s v="High Impact"/>
    <m/>
    <b v="1"/>
    <n v="4"/>
    <n v="703716490"/>
    <s v="Stable"/>
    <s v="A"/>
    <n v="703716490"/>
    <e v="#NAME?"/>
    <e v="#NAME?"/>
  </r>
  <r>
    <x v="3"/>
    <n v="2020"/>
    <x v="0"/>
    <s v="Annual"/>
    <x v="17"/>
    <s v="Strategic communication for increasing mining, domestic coal and  nuclear activities"/>
    <s v="General Fossil Fuel Support"/>
    <x v="1"/>
    <n v="577147"/>
    <n v="577147"/>
    <s v="Low Impact"/>
    <m/>
    <b v="1"/>
    <n v="4"/>
    <n v="588445.5"/>
    <s v="Decreasing"/>
    <s v="A"/>
    <n v="577147"/>
    <e v="#NAME?"/>
    <e v="#NAME?"/>
  </r>
  <r>
    <x v="0"/>
    <n v="2020"/>
    <x v="0"/>
    <s v="Annual"/>
    <x v="17"/>
    <s v="Strategic communication for increasing mining, domestic coal and  nuclear activities"/>
    <s v="General Fossil Fuel Support"/>
    <x v="1"/>
    <n v="605000"/>
    <n v="605000"/>
    <s v="Low Impact"/>
    <n v="4.8259802095479998"/>
    <b v="1"/>
    <n v="4"/>
    <n v="588445.5"/>
    <s v="Decreasing"/>
    <s v="A"/>
    <n v="605000"/>
    <e v="#NAME?"/>
    <e v="#NAME?"/>
  </r>
  <r>
    <x v="1"/>
    <n v="2020"/>
    <x v="0"/>
    <s v="Annual"/>
    <x v="17"/>
    <s v="Strategic communication for increasing mining, domestic coal and  nuclear activities"/>
    <s v="General Fossil Fuel Support"/>
    <x v="1"/>
    <n v="634600"/>
    <n v="634600"/>
    <s v="Low Impact"/>
    <n v="4.8925619834710696"/>
    <b v="1"/>
    <n v="4"/>
    <n v="588445.5"/>
    <s v="Decreasing"/>
    <s v="A"/>
    <n v="634600"/>
    <e v="#NAME?"/>
    <e v="#NAME?"/>
  </r>
  <r>
    <x v="0"/>
    <n v="2020"/>
    <x v="0"/>
    <s v="Annual"/>
    <x v="18"/>
    <s v="Fuel Tax Exemption for LPG Used in Aerosol Production"/>
    <s v="Fuel"/>
    <x v="0"/>
    <n v="84882000"/>
    <n v="84882000"/>
    <s v="Medium Impact"/>
    <m/>
    <b v="1"/>
    <n v="4"/>
    <n v="74889250"/>
    <s v="Decreasing"/>
    <s v="A"/>
    <n v="84882000"/>
    <e v="#NAME?"/>
    <e v="#NAME?"/>
  </r>
  <r>
    <x v="1"/>
    <n v="2020"/>
    <x v="0"/>
    <s v="Annual"/>
    <x v="18"/>
    <s v="Fuel Tax Exemption for LPG Used in Aerosol Production"/>
    <s v="Fuel"/>
    <x v="0"/>
    <n v="144087000"/>
    <n v="144087000"/>
    <s v="High Impact"/>
    <n v="69.749770269314993"/>
    <b v="1"/>
    <n v="4"/>
    <n v="74889250"/>
    <s v="Decreasing"/>
    <s v="A"/>
    <n v="144087000"/>
    <e v="#NAME?"/>
    <e v="#NAME?"/>
  </r>
  <r>
    <x v="2"/>
    <n v="2020"/>
    <x v="0"/>
    <s v="Annual"/>
    <x v="18"/>
    <s v="Fuel Tax Exemption for LPG Used in Aerosol Production"/>
    <s v="Fuel"/>
    <x v="0"/>
    <n v="64138000"/>
    <n v="64138000"/>
    <s v="Medium Impact"/>
    <n v="-55.486615725221498"/>
    <b v="1"/>
    <n v="4"/>
    <n v="74889250"/>
    <s v="Decreasing"/>
    <s v="A"/>
    <n v="64138000"/>
    <e v="#NAME?"/>
    <e v="#NAME?"/>
  </r>
  <r>
    <x v="3"/>
    <n v="2020"/>
    <x v="0"/>
    <s v="Annual"/>
    <x v="13"/>
    <s v="Corporate Income Tax Rate Reduction"/>
    <s v="General Fossil Fuel Support"/>
    <x v="0"/>
    <n v="57876795"/>
    <n v="57876795"/>
    <s v="Medium Impact"/>
    <n v="15.7073070771691"/>
    <b v="1"/>
    <n v="4"/>
    <n v="140908336.375"/>
    <s v="Increasing"/>
    <s v="A"/>
    <n v="57876795"/>
    <e v="#NAME?"/>
    <e v="#NAME?"/>
  </r>
  <r>
    <x v="0"/>
    <n v="2020"/>
    <x v="0"/>
    <s v="Annual"/>
    <x v="13"/>
    <s v="Corporate Income Tax Rate Reduction"/>
    <s v="General Fossil Fuel Support"/>
    <x v="0"/>
    <n v="28177160"/>
    <n v="28177160"/>
    <s v="Medium Impact"/>
    <n v="-51.315272381616801"/>
    <b v="1"/>
    <n v="4"/>
    <n v="140908336.375"/>
    <s v="Increasing"/>
    <s v="A"/>
    <n v="28177160"/>
    <e v="#NAME?"/>
    <e v="#NAME?"/>
  </r>
  <r>
    <x v="1"/>
    <n v="2020"/>
    <x v="0"/>
    <s v="Annual"/>
    <x v="13"/>
    <s v="Corporate Income Tax Rate Reduction"/>
    <s v="General Fossil Fuel Support"/>
    <x v="0"/>
    <n v="29326405"/>
    <n v="29326405"/>
    <s v="Medium Impact"/>
    <n v="4.0786402888012896"/>
    <b v="1"/>
    <n v="4"/>
    <n v="140908336.375"/>
    <s v="Increasing"/>
    <s v="A"/>
    <n v="29326405"/>
    <e v="#NAME?"/>
    <e v="#NAME?"/>
  </r>
  <r>
    <x v="0"/>
    <n v="2020"/>
    <x v="0"/>
    <s v="Annual"/>
    <x v="19"/>
    <s v="Tax Exemption for the Transportation and Distribution of Oil and Gas"/>
    <s v="Oil"/>
    <x v="0"/>
    <n v="703716490"/>
    <n v="703716490"/>
    <s v="High Impact"/>
    <m/>
    <b v="1"/>
    <n v="4"/>
    <n v="703716490"/>
    <s v="Stable"/>
    <s v="A"/>
    <n v="703716490"/>
    <e v="#NAME?"/>
    <e v="#NAME?"/>
  </r>
  <r>
    <x v="1"/>
    <n v="2020"/>
    <x v="0"/>
    <s v="Annual"/>
    <x v="19"/>
    <s v="Tax Exemption for the Transportation and Distribution of Oil and Gas"/>
    <s v="Oil"/>
    <x v="0"/>
    <n v="703716490"/>
    <n v="703716490"/>
    <s v="High Impact"/>
    <m/>
    <b v="1"/>
    <n v="4"/>
    <n v="703716490"/>
    <s v="Stable"/>
    <s v="A"/>
    <n v="703716490"/>
    <e v="#NAME?"/>
    <e v="#NAME?"/>
  </r>
  <r>
    <x v="2"/>
    <n v="2020"/>
    <x v="0"/>
    <s v="Annual"/>
    <x v="19"/>
    <s v="Tax Exemption for the Transportation and Distribution of Oil and Gas"/>
    <s v="Oil"/>
    <x v="0"/>
    <n v="703716490"/>
    <n v="703716490"/>
    <s v="High Impact"/>
    <m/>
    <b v="1"/>
    <n v="4"/>
    <n v="703716490"/>
    <s v="Stable"/>
    <s v="A"/>
    <n v="703716490"/>
    <e v="#NAME?"/>
    <e v="#NAME?"/>
  </r>
  <r>
    <x v="2"/>
    <n v="2020"/>
    <x v="0"/>
    <s v="Annual"/>
    <x v="7"/>
    <s v="Fuel Tax Exemption for Fuel Oil and Diesel Used for Electricity Generation"/>
    <s v="Oil"/>
    <x v="0"/>
    <n v="703716490"/>
    <n v="703716490"/>
    <s v="High Impact"/>
    <m/>
    <b v="1"/>
    <n v="4"/>
    <n v="703716490"/>
    <s v="Stable"/>
    <s v="A"/>
    <n v="703716490"/>
    <e v="#NAME?"/>
    <e v="#NAME?"/>
  </r>
  <r>
    <x v="0"/>
    <n v="2020"/>
    <x v="0"/>
    <s v="Annual"/>
    <x v="3"/>
    <s v="Fuel Tax Exemption for Vehicles Used for National Security"/>
    <s v="Fuel"/>
    <x v="0"/>
    <n v="703716490"/>
    <n v="703716490"/>
    <s v="High Impact"/>
    <m/>
    <b v="1"/>
    <n v="4"/>
    <n v="703716490"/>
    <s v="Stable"/>
    <s v="A"/>
    <n v="703716490"/>
    <e v="#NAME?"/>
    <e v="#NAME?"/>
  </r>
  <r>
    <x v="1"/>
    <n v="2020"/>
    <x v="0"/>
    <s v="Annual"/>
    <x v="3"/>
    <s v="Fuel Tax Exemption for Vehicles Used for National Security"/>
    <s v="Fuel"/>
    <x v="0"/>
    <n v="703716490"/>
    <n v="703716490"/>
    <s v="High Impact"/>
    <m/>
    <b v="1"/>
    <n v="4"/>
    <n v="703716490"/>
    <s v="Stable"/>
    <s v="A"/>
    <n v="703716490"/>
    <e v="#NAME?"/>
    <e v="#NAME?"/>
  </r>
  <r>
    <x v="2"/>
    <n v="2020"/>
    <x v="0"/>
    <s v="Annual"/>
    <x v="0"/>
    <s v="Value Added Tax Exemption for Imported and/or Locally Provided Investment Machinery within the Scope of Incentive Certificates"/>
    <s v="General Fossil Fuel Support"/>
    <x v="0"/>
    <n v="13996378"/>
    <n v="13996378"/>
    <s v="Medium Impact"/>
    <n v="-98.011077159780598"/>
    <b v="1"/>
    <n v="4"/>
    <n v="99912404.875"/>
    <s v="Increasing"/>
    <s v="A"/>
    <n v="13996378"/>
    <e v="#NAME?"/>
    <e v="#NAME?"/>
  </r>
  <r>
    <x v="0"/>
    <n v="2020"/>
    <x v="0"/>
    <s v="Annual"/>
    <x v="19"/>
    <s v="Tax Exemption for the Transportation and Distribution of Oil and Gas"/>
    <s v="Oil"/>
    <x v="0"/>
    <n v="703716490"/>
    <n v="703716490"/>
    <s v="High Impact"/>
    <m/>
    <b v="1"/>
    <n v="4"/>
    <n v="703716490"/>
    <s v="Stable"/>
    <s v="A"/>
    <n v="703716490"/>
    <e v="#NAME?"/>
    <e v="#NAME?"/>
  </r>
  <r>
    <x v="1"/>
    <n v="2020"/>
    <x v="0"/>
    <s v="Annual"/>
    <x v="19"/>
    <s v="Tax Exemption for the Transportation and Distribution of Oil and Gas"/>
    <s v="Oil"/>
    <x v="0"/>
    <n v="703716490"/>
    <n v="703716490"/>
    <s v="High Impact"/>
    <m/>
    <b v="1"/>
    <n v="4"/>
    <n v="703716490"/>
    <s v="Stable"/>
    <s v="A"/>
    <n v="703716490"/>
    <e v="#NAME?"/>
    <e v="#NAME?"/>
  </r>
  <r>
    <x v="2"/>
    <n v="2020"/>
    <x v="0"/>
    <s v="Annual"/>
    <x v="19"/>
    <s v="Tax Exemption for the Transportation and Distribution of Oil and Gas"/>
    <s v="Oil"/>
    <x v="0"/>
    <n v="703716490"/>
    <n v="703716490"/>
    <s v="High Impact"/>
    <m/>
    <b v="1"/>
    <n v="4"/>
    <n v="703716490"/>
    <s v="Stable"/>
    <s v="A"/>
    <n v="703716490"/>
    <e v="#NAME?"/>
    <e v="#NAME?"/>
  </r>
  <r>
    <x v="0"/>
    <n v="2020"/>
    <x v="0"/>
    <s v="Annual"/>
    <x v="20"/>
    <s v="Personel Income Withholding Tax Support for R&amp;D personnel"/>
    <s v="General Fossil Fuel Support"/>
    <x v="0"/>
    <n v="728210"/>
    <n v="728210"/>
    <s v="Low Impact"/>
    <m/>
    <b v="1"/>
    <n v="4"/>
    <n v="16440389.375"/>
    <s v="Increasing"/>
    <s v="A"/>
    <n v="728210"/>
    <e v="#NAME?"/>
    <e v="#NAME?"/>
  </r>
  <r>
    <x v="1"/>
    <n v="2020"/>
    <x v="0"/>
    <s v="Annual"/>
    <x v="20"/>
    <s v="Personel Income Withholding Tax Support for R&amp;D personnel"/>
    <s v="General Fossil Fuel Support"/>
    <x v="0"/>
    <n v="1357852"/>
    <n v="1357852"/>
    <s v="Medium Impact"/>
    <n v="86.464344076571294"/>
    <b v="1"/>
    <n v="4"/>
    <n v="16440389.375"/>
    <s v="Increasing"/>
    <s v="A"/>
    <n v="1357852"/>
    <e v="#NAME?"/>
    <e v="#NAME?"/>
  </r>
  <r>
    <x v="2"/>
    <n v="2020"/>
    <x v="0"/>
    <s v="Annual"/>
    <x v="20"/>
    <s v="Personel Income Withholding Tax Support for R&amp;D personnel"/>
    <s v="General Fossil Fuel Support"/>
    <x v="0"/>
    <n v="298702"/>
    <n v="298702"/>
    <s v="Low Impact"/>
    <n v="-78.001873547337993"/>
    <b v="1"/>
    <n v="4"/>
    <n v="16440389.375"/>
    <s v="Increasing"/>
    <s v="A"/>
    <n v="298702"/>
    <e v="#NAME?"/>
    <e v="#NAME?"/>
  </r>
  <r>
    <x v="0"/>
    <n v="2020"/>
    <x v="0"/>
    <s v="Annual"/>
    <x v="21"/>
    <s v="Fuel Tax Exemption for Domestic Commercial Aviation"/>
    <s v="Fuel"/>
    <x v="0"/>
    <n v="4736847000"/>
    <n v="4736847000"/>
    <s v="High Impact"/>
    <m/>
    <b v="1"/>
    <n v="4"/>
    <n v="4078783500"/>
    <s v="Increasing"/>
    <s v="A"/>
    <n v="4736847000"/>
    <e v="#NAME?"/>
    <e v="#NAME?"/>
  </r>
  <r>
    <x v="1"/>
    <n v="2020"/>
    <x v="0"/>
    <s v="Annual"/>
    <x v="21"/>
    <s v="Fuel Tax Exemption for Domestic Commercial Aviation"/>
    <s v="Fuel"/>
    <x v="0"/>
    <n v="5550230000"/>
    <n v="5550230000"/>
    <s v="High Impact"/>
    <n v="17.171401145107701"/>
    <b v="1"/>
    <n v="4"/>
    <n v="4078783500"/>
    <s v="Increasing"/>
    <s v="A"/>
    <n v="5550230000"/>
    <e v="#NAME?"/>
    <e v="#NAME?"/>
  </r>
  <r>
    <x v="2"/>
    <n v="2020"/>
    <x v="0"/>
    <s v="Annual"/>
    <x v="21"/>
    <s v="Fuel Tax Exemption for Domestic Commercial Aviation"/>
    <s v="Fuel"/>
    <x v="0"/>
    <n v="2242754000"/>
    <n v="2242754000"/>
    <s v="High Impact"/>
    <n v="-59.591692596523004"/>
    <b v="1"/>
    <n v="4"/>
    <n v="4078783500"/>
    <s v="Increasing"/>
    <s v="A"/>
    <n v="2242754000"/>
    <e v="#NAME?"/>
    <e v="#NAME?"/>
  </r>
  <r>
    <x v="0"/>
    <n v="2020"/>
    <x v="0"/>
    <s v="Annual"/>
    <x v="19"/>
    <s v="Tax Exemption for the Transportation and Distribution of Oil and Gas"/>
    <s v="Oil"/>
    <x v="0"/>
    <n v="703716490"/>
    <n v="703716490"/>
    <s v="High Impact"/>
    <m/>
    <b v="1"/>
    <n v="4"/>
    <n v="703716490"/>
    <s v="Stable"/>
    <s v="A"/>
    <n v="703716490"/>
    <e v="#NAME?"/>
    <e v="#NAME?"/>
  </r>
  <r>
    <x v="1"/>
    <n v="2020"/>
    <x v="0"/>
    <s v="Annual"/>
    <x v="19"/>
    <s v="Tax Exemption for the Transportation and Distribution of Oil and Gas"/>
    <s v="Oil"/>
    <x v="0"/>
    <n v="703716490"/>
    <n v="703716490"/>
    <s v="High Impact"/>
    <m/>
    <b v="1"/>
    <n v="4"/>
    <n v="703716490"/>
    <s v="Stable"/>
    <s v="A"/>
    <n v="703716490"/>
    <e v="#NAME?"/>
    <e v="#NAME?"/>
  </r>
  <r>
    <x v="2"/>
    <n v="2020"/>
    <x v="0"/>
    <s v="Annual"/>
    <x v="19"/>
    <s v="Tax Exemption for the Transportation and Distribution of Oil and Gas"/>
    <s v="Oil"/>
    <x v="0"/>
    <n v="703716490"/>
    <n v="703716490"/>
    <s v="High Impact"/>
    <m/>
    <b v="1"/>
    <n v="4"/>
    <n v="703716490"/>
    <s v="Stable"/>
    <s v="A"/>
    <n v="703716490"/>
    <e v="#NAME?"/>
    <e v="#NAME?"/>
  </r>
  <r>
    <x v="0"/>
    <n v="2020"/>
    <x v="0"/>
    <s v="Annual"/>
    <x v="8"/>
    <s v="Personal Income Tax exemption for underground workers"/>
    <s v="General Fossil Fuel Support"/>
    <x v="0"/>
    <n v="21967616"/>
    <n v="21967616"/>
    <s v="Medium Impact"/>
    <n v="-96.878342867878501"/>
    <b v="1"/>
    <n v="4"/>
    <n v="190634414.125"/>
    <s v="Increasing"/>
    <s v="A"/>
    <n v="21967616"/>
    <e v="#NAME?"/>
    <e v="#NAME?"/>
  </r>
  <r>
    <x v="1"/>
    <n v="2020"/>
    <x v="0"/>
    <s v="Annual"/>
    <x v="8"/>
    <s v="Personal Income Tax exemption for underground workers"/>
    <s v="General Fossil Fuel Support"/>
    <x v="0"/>
    <n v="703716490"/>
    <n v="703716490"/>
    <s v="High Impact"/>
    <n v="3103.4267623760302"/>
    <b v="1"/>
    <n v="4"/>
    <n v="190634414.125"/>
    <s v="Increasing"/>
    <s v="A"/>
    <n v="703716490"/>
    <e v="#NAME?"/>
    <e v="#NAME?"/>
  </r>
  <r>
    <x v="2"/>
    <n v="2020"/>
    <x v="0"/>
    <s v="Annual"/>
    <x v="8"/>
    <s v="Personal Income Tax exemption for underground workers"/>
    <s v="General Fossil Fuel Support"/>
    <x v="0"/>
    <n v="19187896"/>
    <n v="19187896"/>
    <s v="Medium Impact"/>
    <n v="-97.273348532730793"/>
    <b v="1"/>
    <n v="4"/>
    <n v="190634414.125"/>
    <s v="Increasing"/>
    <s v="A"/>
    <n v="19187896"/>
    <e v="#NAME?"/>
    <e v="#NAME?"/>
  </r>
  <r>
    <x v="0"/>
    <n v="2020"/>
    <x v="0"/>
    <s v="Annual"/>
    <x v="22"/>
    <s v="Capacity mechanism payments for Natural Gas"/>
    <s v="Natural Gas"/>
    <x v="1"/>
    <n v="2020583712"/>
    <n v="2020583712"/>
    <s v="High Impact"/>
    <m/>
    <b v="1"/>
    <n v="4"/>
    <n v="1391639889.75"/>
    <s v="Increasing"/>
    <s v="A"/>
    <n v="2020583712"/>
    <e v="#NAME?"/>
    <e v="#NAME?"/>
  </r>
  <r>
    <x v="1"/>
    <n v="2020"/>
    <x v="0"/>
    <s v="Annual"/>
    <x v="22"/>
    <s v="Capacity mechanism payments for Natural Gas"/>
    <s v="Natural Gas"/>
    <x v="1"/>
    <n v="2489700256"/>
    <n v="2489700256"/>
    <s v="High Impact"/>
    <n v="23.216882389676499"/>
    <b v="1"/>
    <n v="4"/>
    <n v="1391639889.75"/>
    <s v="Increasing"/>
    <s v="A"/>
    <n v="2489700256"/>
    <e v="#NAME?"/>
    <e v="#NAME?"/>
  </r>
  <r>
    <x v="2"/>
    <n v="2020"/>
    <x v="0"/>
    <s v="Annual"/>
    <x v="22"/>
    <s v="Capacity mechanism payments for Natural Gas"/>
    <s v="Natural Gas"/>
    <x v="1"/>
    <n v="816577178"/>
    <n v="816577178"/>
    <s v="High Impact"/>
    <n v="-67.201787603463202"/>
    <b v="1"/>
    <n v="4"/>
    <n v="1391639889.75"/>
    <s v="Increasing"/>
    <s v="A"/>
    <n v="816577178"/>
    <e v="#NAME?"/>
    <e v="#NAME?"/>
  </r>
  <r>
    <x v="0"/>
    <n v="2020"/>
    <x v="0"/>
    <s v="Annual"/>
    <x v="8"/>
    <s v="Personal Income Tax exemption for underground workers"/>
    <s v="General Fossil Fuel Support"/>
    <x v="0"/>
    <n v="2854505"/>
    <n v="2854505"/>
    <s v="Medium Impact"/>
    <n v="-85.123408006797604"/>
    <b v="1"/>
    <n v="4"/>
    <n v="190634414.125"/>
    <s v="Increasing"/>
    <s v="A"/>
    <n v="2854505"/>
    <e v="#NAME?"/>
    <e v="#NAME?"/>
  </r>
  <r>
    <x v="1"/>
    <n v="2020"/>
    <x v="0"/>
    <s v="Annual"/>
    <x v="8"/>
    <s v="Personal Income Tax exemption for underground workers"/>
    <s v="General Fossil Fuel Support"/>
    <x v="0"/>
    <n v="703716490"/>
    <n v="703716490"/>
    <s v="High Impact"/>
    <n v="24552.837882575001"/>
    <b v="1"/>
    <n v="4"/>
    <n v="190634414.125"/>
    <s v="Increasing"/>
    <s v="A"/>
    <n v="703716490"/>
    <e v="#NAME?"/>
    <e v="#NAME?"/>
  </r>
  <r>
    <x v="2"/>
    <n v="2020"/>
    <x v="0"/>
    <s v="Annual"/>
    <x v="8"/>
    <s v="Personal Income Tax exemption for underground workers"/>
    <s v="General Fossil Fuel Support"/>
    <x v="0"/>
    <n v="2265444"/>
    <n v="2265444"/>
    <s v="Medium Impact"/>
    <n v="-99.678074333599795"/>
    <b v="1"/>
    <n v="4"/>
    <n v="190634414.125"/>
    <s v="Increasing"/>
    <s v="A"/>
    <n v="2265444"/>
    <e v="#NAME?"/>
    <e v="#NAME?"/>
  </r>
  <r>
    <x v="0"/>
    <n v="2020"/>
    <x v="0"/>
    <s v="Annual"/>
    <x v="7"/>
    <s v="Fuel Tax Exemption for Fuel Oil and Diesel Used for Electricity Generation"/>
    <s v="Oil"/>
    <x v="0"/>
    <n v="703716490"/>
    <n v="703716490"/>
    <s v="High Impact"/>
    <m/>
    <b v="1"/>
    <n v="4"/>
    <n v="703716490"/>
    <s v="Stable"/>
    <s v="A"/>
    <n v="703716490"/>
    <e v="#NAME?"/>
    <e v="#NAME?"/>
  </r>
  <r>
    <x v="1"/>
    <n v="2020"/>
    <x v="0"/>
    <s v="Annual"/>
    <x v="7"/>
    <s v="Fuel Tax Exemption for Fuel Oil and Diesel Used for Electricity Generation"/>
    <s v="Oil"/>
    <x v="0"/>
    <n v="703716490"/>
    <n v="703716490"/>
    <s v="High Impact"/>
    <m/>
    <b v="1"/>
    <n v="4"/>
    <n v="703716490"/>
    <s v="Stable"/>
    <s v="A"/>
    <n v="703716490"/>
    <e v="#NAME?"/>
    <e v="#NAME?"/>
  </r>
  <r>
    <x v="2"/>
    <n v="2020"/>
    <x v="0"/>
    <s v="Annual"/>
    <x v="7"/>
    <s v="Fuel Tax Exemption for Fuel Oil and Diesel Used for Electricity Generation"/>
    <s v="Oil"/>
    <x v="0"/>
    <n v="703716490"/>
    <n v="703716490"/>
    <s v="High Impact"/>
    <m/>
    <b v="1"/>
    <n v="4"/>
    <n v="703716490"/>
    <s v="Stable"/>
    <s v="A"/>
    <n v="703716490"/>
    <e v="#NAME?"/>
    <e v="#NAME?"/>
  </r>
  <r>
    <x v="0"/>
    <n v="2020"/>
    <x v="0"/>
    <s v="Annual"/>
    <x v="14"/>
    <s v="Aid to the Hard Coal Industry"/>
    <s v="Coal"/>
    <x v="1"/>
    <n v="635958851"/>
    <n v="635958851"/>
    <s v="High Impact"/>
    <n v="-30.9617349166286"/>
    <b v="1"/>
    <n v="4"/>
    <n v="738429122.5"/>
    <s v="Decreasing"/>
    <s v="A"/>
    <n v="635958851"/>
    <e v="#NAME?"/>
    <e v="#NAME?"/>
  </r>
  <r>
    <x v="1"/>
    <n v="2020"/>
    <x v="0"/>
    <s v="Annual"/>
    <x v="14"/>
    <s v="Aid to the Hard Coal Industry"/>
    <s v="Coal"/>
    <x v="1"/>
    <n v="703716490"/>
    <n v="703716490"/>
    <s v="High Impact"/>
    <n v="10.6544061606275"/>
    <b v="1"/>
    <n v="4"/>
    <n v="738429122.5"/>
    <s v="Decreasing"/>
    <s v="A"/>
    <n v="703716490"/>
    <e v="#NAME?"/>
    <e v="#NAME?"/>
  </r>
  <r>
    <x v="2"/>
    <n v="2020"/>
    <x v="0"/>
    <s v="Annual"/>
    <x v="14"/>
    <s v="Aid to the Hard Coal Industry"/>
    <s v="Coal"/>
    <x v="1"/>
    <n v="578831355"/>
    <n v="578831355"/>
    <s v="High Impact"/>
    <n v="-17.7465125195517"/>
    <b v="1"/>
    <n v="4"/>
    <n v="738429122.5"/>
    <s v="Decreasing"/>
    <s v="A"/>
    <n v="578831355"/>
    <e v="#NAME?"/>
    <e v="#NAME?"/>
  </r>
  <r>
    <x v="0"/>
    <n v="2020"/>
    <x v="0"/>
    <s v="Annual"/>
    <x v="1"/>
    <s v="Support for Domestic Oil, Natural Gas and Coal Exploration"/>
    <s v="Oil"/>
    <x v="1"/>
    <n v="6204"/>
    <n v="6204"/>
    <s v="Low Impact"/>
    <n v="32.9903536977491"/>
    <b v="1"/>
    <n v="4"/>
    <n v="64491.166666666599"/>
    <s v="Increasing"/>
    <s v="A"/>
    <n v="6204"/>
    <e v="#NAME?"/>
    <e v="#NAME?"/>
  </r>
  <r>
    <x v="1"/>
    <n v="2020"/>
    <x v="0"/>
    <s v="Annual"/>
    <x v="1"/>
    <s v="Support for Domestic Oil, Natural Gas and Coal Exploration"/>
    <s v="Oil"/>
    <x v="1"/>
    <n v="6497"/>
    <n v="6497"/>
    <s v="Low Impact"/>
    <n v="4.7227595099935398"/>
    <b v="1"/>
    <n v="4"/>
    <n v="64491.166666666599"/>
    <s v="Increasing"/>
    <s v="A"/>
    <n v="6497"/>
    <e v="#NAME?"/>
    <e v="#NAME?"/>
  </r>
  <r>
    <x v="2"/>
    <n v="2020"/>
    <x v="0"/>
    <s v="Annual"/>
    <x v="1"/>
    <s v="Support for Domestic Oil, Natural Gas and Coal Exploration"/>
    <s v="Oil"/>
    <x v="1"/>
    <n v="6977"/>
    <n v="6977"/>
    <s v="Low Impact"/>
    <n v="7.3880252424195696"/>
    <b v="1"/>
    <n v="4"/>
    <n v="64491.166666666599"/>
    <s v="Increasing"/>
    <s v="A"/>
    <n v="6977"/>
    <e v="#NAME?"/>
    <e v="#NAME?"/>
  </r>
  <r>
    <x v="0"/>
    <n v="2020"/>
    <x v="0"/>
    <s v="Annual"/>
    <x v="23"/>
    <s v="Personal Income Withholding Tax Support for Investments with Incentive Certificates"/>
    <s v="General Fossil Fuel Support"/>
    <x v="0"/>
    <n v="703716490"/>
    <n v="703716490"/>
    <s v="High Impact"/>
    <m/>
    <b v="1"/>
    <n v="4"/>
    <n v="351976579.75"/>
    <s v="Increasing"/>
    <s v="A"/>
    <n v="703716490"/>
    <e v="#NAME?"/>
    <e v="#NAME?"/>
  </r>
  <r>
    <x v="1"/>
    <n v="2020"/>
    <x v="0"/>
    <s v="Annual"/>
    <x v="23"/>
    <s v="Personal Income Withholding Tax Support for Investments with Incentive Certificates"/>
    <s v="General Fossil Fuel Support"/>
    <x v="0"/>
    <n v="703716490"/>
    <n v="703716490"/>
    <s v="High Impact"/>
    <m/>
    <b v="1"/>
    <n v="4"/>
    <n v="351976579.75"/>
    <s v="Increasing"/>
    <s v="A"/>
    <n v="703716490"/>
    <e v="#NAME?"/>
    <e v="#NAME?"/>
  </r>
  <r>
    <x v="2"/>
    <n v="2020"/>
    <x v="0"/>
    <s v="Annual"/>
    <x v="23"/>
    <s v="Personal Income Withholding Tax Support for Investments with Incentive Certificates"/>
    <s v="General Fossil Fuel Support"/>
    <x v="0"/>
    <n v="195000"/>
    <n v="195000"/>
    <s v="Low Impact"/>
    <n v="-99.972289977175294"/>
    <b v="1"/>
    <n v="4"/>
    <n v="351976579.75"/>
    <s v="Increasing"/>
    <s v="A"/>
    <n v="195000"/>
    <e v="#NAME?"/>
    <e v="#NAME?"/>
  </r>
  <r>
    <x v="3"/>
    <n v="2020"/>
    <x v="0"/>
    <s v="Annual"/>
    <x v="2"/>
    <s v="R&amp;D Tax credits in Law No:5746 Article 3/A"/>
    <s v="General Fossil Fuel Support"/>
    <x v="0"/>
    <n v="139383"/>
    <n v="139383"/>
    <s v="Low Impact"/>
    <n v="-11.740457435222"/>
    <b v="1"/>
    <n v="4"/>
    <n v="153547.625"/>
    <s v="Decreasing"/>
    <s v="A"/>
    <n v="139383"/>
    <e v="#NAME?"/>
    <e v="#NAME?"/>
  </r>
  <r>
    <x v="0"/>
    <n v="2020"/>
    <x v="0"/>
    <s v="Annual"/>
    <x v="2"/>
    <s v="R&amp;D Tax credits in Law No:5746 Article 3/A"/>
    <s v="General Fossil Fuel Support"/>
    <x v="0"/>
    <n v="171181"/>
    <n v="171181"/>
    <s v="Low Impact"/>
    <n v="22.813399051534201"/>
    <b v="1"/>
    <n v="4"/>
    <n v="153547.625"/>
    <s v="Decreasing"/>
    <s v="A"/>
    <n v="171181"/>
    <e v="#NAME?"/>
    <e v="#NAME?"/>
  </r>
  <r>
    <x v="1"/>
    <n v="2020"/>
    <x v="0"/>
    <s v="Annual"/>
    <x v="2"/>
    <s v="R&amp;D Tax credits in Law No:5746 Article 3/A"/>
    <s v="General Fossil Fuel Support"/>
    <x v="0"/>
    <n v="157924"/>
    <n v="157924"/>
    <s v="Low Impact"/>
    <n v="-7.7444342538015301"/>
    <b v="1"/>
    <n v="4"/>
    <n v="153547.625"/>
    <s v="Decreasing"/>
    <s v="A"/>
    <n v="157924"/>
    <e v="#NAME?"/>
    <e v="#NAME?"/>
  </r>
  <r>
    <x v="0"/>
    <n v="2020"/>
    <x v="0"/>
    <s v="Annual"/>
    <x v="24"/>
    <s v="Fuel Tax Exemption for Diesel Blended with Domestically Sourced Biodiesel"/>
    <s v="Fuel"/>
    <x v="0"/>
    <n v="149270000"/>
    <n v="149270000"/>
    <s v="High Impact"/>
    <m/>
    <b v="1"/>
    <n v="4"/>
    <n v="156832250"/>
    <s v="Decreasing"/>
    <s v="A"/>
    <n v="149270000"/>
    <e v="#NAME?"/>
    <e v="#NAME?"/>
  </r>
  <r>
    <x v="1"/>
    <n v="2020"/>
    <x v="0"/>
    <s v="Annual"/>
    <x v="24"/>
    <s v="Fuel Tax Exemption for Diesel Blended with Domestically Sourced Biodiesel"/>
    <s v="Fuel"/>
    <x v="0"/>
    <n v="253387000"/>
    <n v="253387000"/>
    <s v="High Impact"/>
    <n v="69.750787164199096"/>
    <b v="1"/>
    <n v="4"/>
    <n v="156832250"/>
    <s v="Decreasing"/>
    <s v="A"/>
    <n v="253387000"/>
    <e v="#NAME?"/>
    <e v="#NAME?"/>
  </r>
  <r>
    <x v="2"/>
    <n v="2020"/>
    <x v="0"/>
    <s v="Annual"/>
    <x v="24"/>
    <s v="Fuel Tax Exemption for Diesel Blended with Domestically Sourced Biodiesel"/>
    <s v="Fuel"/>
    <x v="0"/>
    <n v="171639000"/>
    <n v="171639000"/>
    <s v="High Impact"/>
    <n v="-32.262112894505201"/>
    <b v="1"/>
    <n v="4"/>
    <n v="156832250"/>
    <s v="Decreasing"/>
    <s v="A"/>
    <n v="171639000"/>
    <e v="#NAME?"/>
    <e v="#NAME?"/>
  </r>
  <r>
    <x v="2"/>
    <n v="2020"/>
    <x v="0"/>
    <s v="Annual"/>
    <x v="8"/>
    <s v="Personal Income Tax exemption for underground workers"/>
    <s v="General Fossil Fuel Support"/>
    <x v="0"/>
    <n v="78291417"/>
    <n v="78291417"/>
    <s v="Medium Impact"/>
    <n v="3355.8972545779102"/>
    <b v="1"/>
    <n v="4"/>
    <n v="190634414.125"/>
    <s v="Increasing"/>
    <s v="A"/>
    <n v="78291417"/>
    <e v="#NAME?"/>
    <e v="#NAME?"/>
  </r>
  <r>
    <x v="3"/>
    <n v="2020"/>
    <x v="0"/>
    <s v="Annual"/>
    <x v="8"/>
    <s v="Personal Income Tax exemption for underground workers"/>
    <s v="General Fossil Fuel Support"/>
    <x v="0"/>
    <n v="90431351"/>
    <n v="90431351"/>
    <s v="Medium Impact"/>
    <n v="15.506085424408599"/>
    <b v="1"/>
    <n v="4"/>
    <n v="190634414.125"/>
    <s v="Increasing"/>
    <s v="A"/>
    <n v="90431351"/>
    <e v="#NAME?"/>
    <e v="#NAME?"/>
  </r>
  <r>
    <x v="0"/>
    <n v="2020"/>
    <x v="0"/>
    <s v="Annual"/>
    <x v="8"/>
    <s v="Personal Income Tax exemption for underground workers"/>
    <s v="General Fossil Fuel Support"/>
    <x v="0"/>
    <n v="90516897"/>
    <n v="90516897"/>
    <s v="Medium Impact"/>
    <n v="9.4597724189693297E-2"/>
    <b v="1"/>
    <n v="4"/>
    <n v="190634414.125"/>
    <s v="Increasing"/>
    <s v="A"/>
    <n v="90516897"/>
    <e v="#NAME?"/>
    <e v="#NAME?"/>
  </r>
  <r>
    <x v="0"/>
    <n v="2020"/>
    <x v="0"/>
    <s v="Annual"/>
    <x v="25"/>
    <s v="Fuel Tax Exemption for Diesel Used by Export Vehicles"/>
    <s v="Fuel"/>
    <x v="0"/>
    <n v="512797000"/>
    <n v="512797000"/>
    <s v="High Impact"/>
    <m/>
    <b v="1"/>
    <n v="4"/>
    <n v="614407000"/>
    <s v="Increasing"/>
    <s v="A"/>
    <n v="512797000"/>
    <e v="#NAME?"/>
    <e v="#NAME?"/>
  </r>
  <r>
    <x v="1"/>
    <n v="2020"/>
    <x v="0"/>
    <s v="Annual"/>
    <x v="25"/>
    <s v="Fuel Tax Exemption for Diesel Used by Export Vehicles"/>
    <s v="Fuel"/>
    <x v="0"/>
    <n v="870475000"/>
    <n v="870475000"/>
    <s v="High Impact"/>
    <n v="69.750408056209295"/>
    <b v="1"/>
    <n v="4"/>
    <n v="614407000"/>
    <s v="Increasing"/>
    <s v="A"/>
    <n v="870475000"/>
    <e v="#NAME?"/>
    <e v="#NAME?"/>
  </r>
  <r>
    <x v="2"/>
    <n v="2020"/>
    <x v="0"/>
    <s v="Annual"/>
    <x v="25"/>
    <s v="Fuel Tax Exemption for Diesel Used by Export Vehicles"/>
    <s v="Fuel"/>
    <x v="0"/>
    <n v="720925000"/>
    <n v="720925000"/>
    <s v="High Impact"/>
    <n v="-17.180275137137698"/>
    <b v="1"/>
    <n v="4"/>
    <n v="614407000"/>
    <s v="Increasing"/>
    <s v="A"/>
    <n v="720925000"/>
    <e v="#NAME?"/>
    <e v="#NAME?"/>
  </r>
  <r>
    <x v="0"/>
    <n v="2020"/>
    <x v="0"/>
    <s v="Annual"/>
    <x v="15"/>
    <s v="R&amp;D Tax credits in Law No:5746 Article 3/1"/>
    <s v="General Fossil Fuel Support"/>
    <x v="0"/>
    <n v="2930865"/>
    <n v="2930865"/>
    <s v="Medium Impact"/>
    <n v="114.780054653818"/>
    <b v="1"/>
    <n v="4"/>
    <n v="2167758.375"/>
    <s v="Increasing"/>
    <s v="A"/>
    <n v="2930865"/>
    <e v="#NAME?"/>
    <e v="#NAME?"/>
  </r>
  <r>
    <x v="1"/>
    <n v="2020"/>
    <x v="0"/>
    <s v="Annual"/>
    <x v="15"/>
    <s v="R&amp;D Tax credits in Law No:5746 Article 3/1"/>
    <s v="General Fossil Fuel Support"/>
    <x v="0"/>
    <n v="2147166"/>
    <n v="2147166"/>
    <s v="Medium Impact"/>
    <n v="-26.739512055314702"/>
    <b v="1"/>
    <n v="4"/>
    <n v="2167758.375"/>
    <s v="Increasing"/>
    <s v="A"/>
    <n v="2147166"/>
    <e v="#NAME?"/>
    <e v="#NAME?"/>
  </r>
  <r>
    <x v="2"/>
    <n v="2020"/>
    <x v="0"/>
    <s v="Annual"/>
    <x v="15"/>
    <s v="R&amp;D Tax credits in Law No:5746 Article 3/1"/>
    <s v="General Fossil Fuel Support"/>
    <x v="0"/>
    <n v="2456260"/>
    <n v="2456260"/>
    <s v="Medium Impact"/>
    <n v="14.3954403152807"/>
    <b v="1"/>
    <n v="4"/>
    <n v="2167758.375"/>
    <s v="Increasing"/>
    <s v="A"/>
    <n v="2456260"/>
    <e v="#NAME?"/>
    <e v="#NAME?"/>
  </r>
  <r>
    <x v="0"/>
    <n v="2020"/>
    <x v="0"/>
    <s v="Annual"/>
    <x v="3"/>
    <s v="Fuel Tax Exemption for Vehicles Used for National Security"/>
    <s v="Fuel"/>
    <x v="0"/>
    <n v="703716490"/>
    <n v="703716490"/>
    <s v="High Impact"/>
    <m/>
    <b v="1"/>
    <n v="4"/>
    <n v="703716490"/>
    <s v="Stable"/>
    <s v="A"/>
    <n v="703716490"/>
    <e v="#NAME?"/>
    <e v="#NAME?"/>
  </r>
  <r>
    <x v="1"/>
    <n v="2020"/>
    <x v="0"/>
    <s v="Annual"/>
    <x v="3"/>
    <s v="Fuel Tax Exemption for Vehicles Used for National Security"/>
    <s v="Fuel"/>
    <x v="0"/>
    <n v="703716490"/>
    <n v="703716490"/>
    <s v="High Impact"/>
    <m/>
    <b v="1"/>
    <n v="4"/>
    <n v="703716490"/>
    <s v="Stable"/>
    <s v="A"/>
    <n v="703716490"/>
    <e v="#NAME?"/>
    <e v="#NAME?"/>
  </r>
  <r>
    <x v="2"/>
    <n v="2020"/>
    <x v="0"/>
    <s v="Annual"/>
    <x v="3"/>
    <s v="Fuel Tax Exemption for Vehicles Used for National Security"/>
    <s v="Fuel"/>
    <x v="0"/>
    <n v="703716490"/>
    <n v="703716490"/>
    <s v="High Impact"/>
    <m/>
    <b v="1"/>
    <n v="4"/>
    <n v="703716490"/>
    <s v="Stable"/>
    <s v="A"/>
    <n v="703716490"/>
    <e v="#NAME?"/>
    <e v="#NAME?"/>
  </r>
  <r>
    <x v="0"/>
    <n v="2020"/>
    <x v="0"/>
    <s v="Annual"/>
    <x v="6"/>
    <s v="Fuel Tax Exemption for Naphta, Petroleum Coke and Petroleum Bitumen"/>
    <s v="Fuel"/>
    <x v="0"/>
    <n v="4211216800"/>
    <n v="4211216800"/>
    <s v="High Impact"/>
    <n v="76.060857473634897"/>
    <b v="1"/>
    <n v="4"/>
    <n v="2578410250"/>
    <s v="Increasing"/>
    <s v="A"/>
    <n v="4211216800"/>
    <e v="#NAME?"/>
    <e v="#NAME?"/>
  </r>
  <r>
    <x v="1"/>
    <n v="2020"/>
    <x v="0"/>
    <s v="Annual"/>
    <x v="6"/>
    <s v="Fuel Tax Exemption for Naphta, Petroleum Coke and Petroleum Bitumen"/>
    <s v="Fuel"/>
    <x v="0"/>
    <n v="5268207817"/>
    <n v="5268207817"/>
    <s v="High Impact"/>
    <n v="25.0994205997658"/>
    <b v="1"/>
    <n v="4"/>
    <n v="2578410250"/>
    <s v="Increasing"/>
    <s v="A"/>
    <n v="5268207817"/>
    <e v="#NAME?"/>
    <e v="#NAME?"/>
  </r>
  <r>
    <x v="2"/>
    <n v="2020"/>
    <x v="0"/>
    <s v="Annual"/>
    <x v="6"/>
    <s v="Fuel Tax Exemption for Naphta, Petroleum Coke and Petroleum Bitumen"/>
    <s v="Fuel"/>
    <x v="0"/>
    <n v="4419994076"/>
    <n v="4419994076"/>
    <s v="High Impact"/>
    <n v="-16.100612778844699"/>
    <b v="1"/>
    <n v="4"/>
    <n v="2578410250"/>
    <s v="Increasing"/>
    <s v="A"/>
    <n v="4419994076"/>
    <e v="#NAME?"/>
    <e v="#NAME?"/>
  </r>
  <r>
    <x v="0"/>
    <n v="2020"/>
    <x v="0"/>
    <s v="Annual"/>
    <x v="0"/>
    <s v="Value Added Tax Exemption for Imported and/or Locally Provided Investment Machinery within the Scope of Incentive Certificates"/>
    <s v="General Fossil Fuel Support"/>
    <x v="0"/>
    <n v="6679500"/>
    <n v="6679500"/>
    <s v="Medium Impact"/>
    <n v="-52.2769390766668"/>
    <b v="1"/>
    <n v="4"/>
    <n v="99912404.875"/>
    <s v="Increasing"/>
    <s v="A"/>
    <n v="6679500"/>
    <e v="#NAME?"/>
    <e v="#NAME?"/>
  </r>
  <r>
    <x v="1"/>
    <n v="2020"/>
    <x v="0"/>
    <s v="Annual"/>
    <x v="0"/>
    <s v="Value Added Tax Exemption for Imported and/or Locally Provided Investment Machinery within the Scope of Incentive Certificates"/>
    <s v="General Fossil Fuel Support"/>
    <x v="0"/>
    <n v="6849353"/>
    <n v="6849353"/>
    <s v="Medium Impact"/>
    <n v="2.5428999176585001"/>
    <b v="1"/>
    <n v="4"/>
    <n v="99912404.875"/>
    <s v="Increasing"/>
    <s v="A"/>
    <n v="6849353"/>
    <e v="#NAME?"/>
    <e v="#NAME?"/>
  </r>
  <r>
    <x v="2"/>
    <n v="2020"/>
    <x v="0"/>
    <s v="Annual"/>
    <x v="0"/>
    <s v="Value Added Tax Exemption for Imported and/or Locally Provided Investment Machinery within the Scope of Incentive Certificates"/>
    <s v="General Fossil Fuel Support"/>
    <x v="0"/>
    <n v="8591640"/>
    <n v="8591640"/>
    <s v="Medium Impact"/>
    <n v="25.4372493285132"/>
    <b v="1"/>
    <n v="4"/>
    <n v="99912404.875"/>
    <s v="Increasing"/>
    <s v="A"/>
    <n v="8591640"/>
    <e v="#NAME?"/>
    <e v="#NAME?"/>
  </r>
  <r>
    <x v="0"/>
    <n v="2020"/>
    <x v="0"/>
    <s v="Annual"/>
    <x v="11"/>
    <s v="Construction of Coal Thermal Plants"/>
    <s v="Coal"/>
    <x v="1"/>
    <n v="703716490"/>
    <n v="703716490"/>
    <s v="High Impact"/>
    <m/>
    <b v="1"/>
    <n v="4"/>
    <n v="703716490"/>
    <s v="Stable"/>
    <s v="A"/>
    <n v="703716490"/>
    <e v="#NAME?"/>
    <e v="#NAME?"/>
  </r>
  <r>
    <x v="1"/>
    <n v="2020"/>
    <x v="0"/>
    <s v="Annual"/>
    <x v="11"/>
    <s v="Construction of Coal Thermal Plants"/>
    <s v="Coal"/>
    <x v="1"/>
    <n v="703716490"/>
    <n v="703716490"/>
    <s v="High Impact"/>
    <m/>
    <b v="1"/>
    <n v="4"/>
    <n v="703716490"/>
    <s v="Stable"/>
    <s v="A"/>
    <n v="703716490"/>
    <e v="#NAME?"/>
    <e v="#NAME?"/>
  </r>
  <r>
    <x v="2"/>
    <n v="2020"/>
    <x v="0"/>
    <s v="Annual"/>
    <x v="11"/>
    <s v="Construction of Coal Thermal Plants"/>
    <s v="Coal"/>
    <x v="1"/>
    <n v="703716490"/>
    <n v="703716490"/>
    <s v="High Impact"/>
    <m/>
    <b v="1"/>
    <n v="4"/>
    <n v="703716490"/>
    <s v="Stable"/>
    <s v="A"/>
    <n v="703716490"/>
    <e v="#NAME?"/>
    <e v="#NAME?"/>
  </r>
  <r>
    <x v="0"/>
    <n v="2020"/>
    <x v="0"/>
    <s v="Annual"/>
    <x v="20"/>
    <s v="Personel Income Withholding Tax Support for R&amp;D personnel"/>
    <s v="General Fossil Fuel Support"/>
    <x v="0"/>
    <n v="35142752"/>
    <n v="35142752"/>
    <s v="Medium Impact"/>
    <n v="11665.154568767501"/>
    <b v="1"/>
    <n v="4"/>
    <n v="16440389.375"/>
    <s v="Increasing"/>
    <s v="A"/>
    <n v="35142752"/>
    <e v="#NAME?"/>
    <e v="#NAME?"/>
  </r>
  <r>
    <x v="1"/>
    <n v="2020"/>
    <x v="0"/>
    <s v="Annual"/>
    <x v="20"/>
    <s v="Personel Income Withholding Tax Support for R&amp;D personnel"/>
    <s v="General Fossil Fuel Support"/>
    <x v="0"/>
    <n v="65528693"/>
    <n v="65528693"/>
    <s v="Medium Impact"/>
    <n v="86.4643184460909"/>
    <b v="1"/>
    <n v="4"/>
    <n v="16440389.375"/>
    <s v="Increasing"/>
    <s v="A"/>
    <n v="65528693"/>
    <e v="#NAME?"/>
    <e v="#NAME?"/>
  </r>
  <r>
    <x v="2"/>
    <n v="2020"/>
    <x v="0"/>
    <s v="Annual"/>
    <x v="20"/>
    <s v="Personel Income Withholding Tax Support for R&amp;D personnel"/>
    <s v="General Fossil Fuel Support"/>
    <x v="0"/>
    <n v="10983088"/>
    <n v="10983088"/>
    <s v="Medium Impact"/>
    <n v="-83.239268941316993"/>
    <b v="1"/>
    <n v="4"/>
    <n v="16440389.375"/>
    <s v="Increasing"/>
    <s v="A"/>
    <n v="10983088"/>
    <e v="#NAME?"/>
    <e v="#NAME?"/>
  </r>
  <r>
    <x v="0"/>
    <n v="2020"/>
    <x v="0"/>
    <s v="Annual"/>
    <x v="3"/>
    <s v="Fuel Tax Exemption for Vehicles Used for National Security"/>
    <s v="Fuel"/>
    <x v="0"/>
    <n v="703716490"/>
    <n v="703716490"/>
    <s v="High Impact"/>
    <m/>
    <b v="1"/>
    <n v="4"/>
    <n v="703716490"/>
    <s v="Stable"/>
    <s v="A"/>
    <n v="703716490"/>
    <e v="#NAME?"/>
    <e v="#NAME?"/>
  </r>
  <r>
    <x v="1"/>
    <n v="2020"/>
    <x v="0"/>
    <s v="Annual"/>
    <x v="3"/>
    <s v="Fuel Tax Exemption for Vehicles Used for National Security"/>
    <s v="Fuel"/>
    <x v="0"/>
    <n v="703716490"/>
    <n v="703716490"/>
    <s v="High Impact"/>
    <m/>
    <b v="1"/>
    <n v="4"/>
    <n v="703716490"/>
    <s v="Stable"/>
    <s v="A"/>
    <n v="703716490"/>
    <e v="#NAME?"/>
    <e v="#NAME?"/>
  </r>
  <r>
    <x v="2"/>
    <n v="2020"/>
    <x v="0"/>
    <s v="Annual"/>
    <x v="3"/>
    <s v="Fuel Tax Exemption for Vehicles Used for National Security"/>
    <s v="Fuel"/>
    <x v="0"/>
    <n v="703716490"/>
    <n v="703716490"/>
    <s v="High Impact"/>
    <m/>
    <b v="1"/>
    <n v="4"/>
    <n v="703716490"/>
    <s v="Stable"/>
    <s v="A"/>
    <n v="703716490"/>
    <e v="#NAME?"/>
    <e v="#NAME?"/>
  </r>
  <r>
    <x v="0"/>
    <n v="2020"/>
    <x v="0"/>
    <s v="Annual"/>
    <x v="11"/>
    <s v="Construction of Coal Thermal Plants"/>
    <s v="Coal"/>
    <x v="1"/>
    <n v="703716490"/>
    <n v="703716490"/>
    <s v="High Impact"/>
    <m/>
    <b v="1"/>
    <n v="4"/>
    <n v="703716490"/>
    <s v="Stable"/>
    <s v="A"/>
    <n v="703716490"/>
    <e v="#NAME?"/>
    <e v="#NAME?"/>
  </r>
  <r>
    <x v="1"/>
    <n v="2020"/>
    <x v="0"/>
    <s v="Annual"/>
    <x v="11"/>
    <s v="Construction of Coal Thermal Plants"/>
    <s v="Coal"/>
    <x v="1"/>
    <n v="703716490"/>
    <n v="703716490"/>
    <s v="High Impact"/>
    <m/>
    <b v="1"/>
    <n v="4"/>
    <n v="703716490"/>
    <s v="Stable"/>
    <s v="A"/>
    <n v="703716490"/>
    <e v="#NAME?"/>
    <e v="#NAME?"/>
  </r>
  <r>
    <x v="2"/>
    <n v="2020"/>
    <x v="0"/>
    <s v="Annual"/>
    <x v="11"/>
    <s v="Construction of Coal Thermal Plants"/>
    <s v="Coal"/>
    <x v="1"/>
    <n v="703716490"/>
    <n v="703716490"/>
    <s v="High Impact"/>
    <m/>
    <b v="1"/>
    <n v="4"/>
    <n v="703716490"/>
    <s v="Stable"/>
    <s v="A"/>
    <n v="703716490"/>
    <e v="#NAME?"/>
    <e v="#NAME?"/>
  </r>
  <r>
    <x v="0"/>
    <n v="2020"/>
    <x v="0"/>
    <s v="Annual"/>
    <x v="23"/>
    <s v="Personal Income Withholding Tax Support for Investments with Incentive Certificates"/>
    <s v="General Fossil Fuel Support"/>
    <x v="0"/>
    <n v="703716490"/>
    <n v="703716490"/>
    <s v="High Impact"/>
    <n v="360780.25128205097"/>
    <b v="1"/>
    <n v="4"/>
    <n v="351976579.75"/>
    <s v="Increasing"/>
    <s v="A"/>
    <n v="703716490"/>
    <e v="#NAME?"/>
    <e v="#NAME?"/>
  </r>
  <r>
    <x v="1"/>
    <n v="2020"/>
    <x v="0"/>
    <s v="Annual"/>
    <x v="23"/>
    <s v="Personal Income Withholding Tax Support for Investments with Incentive Certificates"/>
    <s v="General Fossil Fuel Support"/>
    <x v="0"/>
    <n v="703716490"/>
    <n v="703716490"/>
    <s v="High Impact"/>
    <m/>
    <b v="1"/>
    <n v="4"/>
    <n v="351976579.75"/>
    <s v="Increasing"/>
    <s v="A"/>
    <n v="703716490"/>
    <e v="#NAME?"/>
    <e v="#NAME?"/>
  </r>
  <r>
    <x v="2"/>
    <n v="2020"/>
    <x v="0"/>
    <s v="Annual"/>
    <x v="23"/>
    <s v="Personal Income Withholding Tax Support for Investments with Incentive Certificates"/>
    <s v="General Fossil Fuel Support"/>
    <x v="0"/>
    <n v="120000"/>
    <n v="120000"/>
    <s v="Low Impact"/>
    <n v="-99.982947678261695"/>
    <b v="1"/>
    <n v="4"/>
    <n v="351976579.75"/>
    <s v="Increasing"/>
    <s v="A"/>
    <n v="120000"/>
    <e v="#NAME?"/>
    <e v="#NAME?"/>
  </r>
  <r>
    <x v="0"/>
    <n v="2020"/>
    <x v="0"/>
    <s v="Annual"/>
    <x v="10"/>
    <s v="Tax Exemption for Oil and Gas Exploration and Transportation"/>
    <s v="Oil"/>
    <x v="0"/>
    <n v="9483763505"/>
    <n v="9483763505"/>
    <s v="High Impact"/>
    <n v="12717.8660761795"/>
    <b v="1"/>
    <n v="4"/>
    <n v="2742906750"/>
    <s v="Increasing"/>
    <s v="A"/>
    <n v="9483763505"/>
    <e v="#NAME?"/>
    <e v="#NAME?"/>
  </r>
  <r>
    <x v="1"/>
    <n v="2020"/>
    <x v="0"/>
    <s v="Annual"/>
    <x v="10"/>
    <s v="Tax Exemption for Oil and Gas Exploration and Transportation"/>
    <s v="Oil"/>
    <x v="0"/>
    <n v="8840528395"/>
    <n v="8840528395"/>
    <s v="High Impact"/>
    <n v="-6.7824878768948098"/>
    <b v="1"/>
    <n v="4"/>
    <n v="2742906750"/>
    <s v="Increasing"/>
    <s v="A"/>
    <n v="8840528395"/>
    <e v="#NAME?"/>
    <e v="#NAME?"/>
  </r>
  <r>
    <x v="2"/>
    <n v="2020"/>
    <x v="0"/>
    <s v="Annual"/>
    <x v="10"/>
    <s v="Tax Exemption for Oil and Gas Exploration and Transportation"/>
    <s v="Oil"/>
    <x v="0"/>
    <n v="666753370"/>
    <n v="666753370"/>
    <s v="High Impact"/>
    <n v="-92.457991873233496"/>
    <b v="1"/>
    <n v="4"/>
    <n v="2742906750"/>
    <s v="Increasing"/>
    <s v="A"/>
    <n v="666753370"/>
    <e v="#NAME?"/>
    <e v="#NAME?"/>
  </r>
  <r>
    <x v="3"/>
    <n v="2020"/>
    <x v="0"/>
    <s v="Annual"/>
    <x v="1"/>
    <s v="Support for Domestic Oil, Natural Gas and Coal Exploration"/>
    <s v="Oil"/>
    <x v="1"/>
    <n v="14705"/>
    <n v="14705"/>
    <s v="Low Impact"/>
    <n v="110.763938655582"/>
    <b v="1"/>
    <n v="4"/>
    <n v="64491.166666666599"/>
    <s v="Increasing"/>
    <s v="A"/>
    <n v="14705"/>
    <e v="#NAME?"/>
    <e v="#NAME?"/>
  </r>
  <r>
    <x v="2"/>
    <n v="2020"/>
    <x v="0"/>
    <s v="Annual"/>
    <x v="2"/>
    <s v="R&amp;D Tax credits in Law No:5746 Article 3/A"/>
    <s v="General Fossil Fuel Support"/>
    <x v="0"/>
    <n v="174531"/>
    <n v="174531"/>
    <s v="Low Impact"/>
    <n v="10.515817735113"/>
    <b v="1"/>
    <n v="4"/>
    <n v="153547.625"/>
    <s v="Decreasing"/>
    <s v="A"/>
    <n v="174531"/>
    <e v="#NAME?"/>
    <e v="#NAME?"/>
  </r>
  <r>
    <x v="3"/>
    <n v="2020"/>
    <x v="0"/>
    <s v="Annual"/>
    <x v="5"/>
    <s v="Fuel Tax Exemption for Ships in Cabotage Lines"/>
    <s v="Fuel"/>
    <x v="0"/>
    <n v="167977000"/>
    <n v="167977000"/>
    <s v="High Impact"/>
    <n v="-69.885585411153897"/>
    <b v="1"/>
    <n v="4"/>
    <n v="769230750"/>
    <s v="Decreasing"/>
    <s v="A"/>
    <n v="167977000"/>
    <e v="#NAME?"/>
    <e v="#NAME?"/>
  </r>
  <r>
    <x v="3"/>
    <n v="2020"/>
    <x v="0"/>
    <s v="Annual"/>
    <x v="1"/>
    <s v="Support for Domestic Oil, Natural Gas and Coal Exploration"/>
    <s v="Oil"/>
    <x v="1"/>
    <n v="6741"/>
    <n v="6741"/>
    <s v="Low Impact"/>
    <n v="-54.158449506970399"/>
    <b v="1"/>
    <n v="4"/>
    <n v="64491.166666666599"/>
    <s v="Increasing"/>
    <s v="A"/>
    <n v="6741"/>
    <e v="#NAME?"/>
    <e v="#NAME?"/>
  </r>
  <r>
    <x v="3"/>
    <n v="2020"/>
    <x v="0"/>
    <s v="Annual"/>
    <x v="6"/>
    <s v="Fuel Tax Exemption for Naphta, Petroleum Coke and Petroleum Bitumen"/>
    <s v="Fuel"/>
    <x v="0"/>
    <n v="1955556949"/>
    <n v="1955556949"/>
    <s v="High Impact"/>
    <n v="-55.7565708149152"/>
    <b v="1"/>
    <n v="4"/>
    <n v="2578410250"/>
    <s v="Increasing"/>
    <s v="A"/>
    <n v="1955556949"/>
    <e v="#NAME?"/>
    <e v="#NAME?"/>
  </r>
  <r>
    <x v="3"/>
    <n v="2020"/>
    <x v="0"/>
    <s v="Annual"/>
    <x v="7"/>
    <s v="Fuel Tax Exemption for Fuel Oil and Diesel Used for Electricity Generation"/>
    <s v="Oil"/>
    <x v="0"/>
    <n v="703716490"/>
    <n v="703716490"/>
    <s v="High Impact"/>
    <m/>
    <b v="1"/>
    <n v="4"/>
    <n v="703716490"/>
    <s v="Stable"/>
    <s v="A"/>
    <n v="703716490"/>
    <e v="#NAME?"/>
    <e v="#NAME?"/>
  </r>
  <r>
    <x v="0"/>
    <n v="2020"/>
    <x v="0"/>
    <s v="Annual"/>
    <x v="6"/>
    <s v="Fuel Tax Exemption for Naphta, Petroleum Coke and Petroleum Bitumen"/>
    <s v="Fuel"/>
    <x v="0"/>
    <n v="724232248"/>
    <n v="724232248"/>
    <s v="High Impact"/>
    <n v="-62.965422798331403"/>
    <b v="1"/>
    <n v="4"/>
    <n v="2578410250"/>
    <s v="Increasing"/>
    <s v="A"/>
    <n v="724232248"/>
    <e v="#NAME?"/>
    <e v="#NAME?"/>
  </r>
  <r>
    <x v="1"/>
    <n v="2020"/>
    <x v="0"/>
    <s v="Annual"/>
    <x v="6"/>
    <s v="Fuel Tax Exemption for Naphta, Petroleum Coke and Petroleum Bitumen"/>
    <s v="Fuel"/>
    <x v="0"/>
    <n v="906010346"/>
    <n v="906010346"/>
    <s v="High Impact"/>
    <n v="25.099420593599401"/>
    <b v="1"/>
    <n v="4"/>
    <n v="2578410250"/>
    <s v="Increasing"/>
    <s v="A"/>
    <n v="906010346"/>
    <e v="#NAME?"/>
    <e v="#NAME?"/>
  </r>
  <r>
    <x v="2"/>
    <n v="2020"/>
    <x v="0"/>
    <s v="Annual"/>
    <x v="6"/>
    <s v="Fuel Tax Exemption for Naphta, Petroleum Coke and Petroleum Bitumen"/>
    <s v="Fuel"/>
    <x v="0"/>
    <n v="1620024183"/>
    <n v="1620024183"/>
    <s v="High Impact"/>
    <n v="78.808574333874105"/>
    <b v="1"/>
    <n v="4"/>
    <n v="2578410250"/>
    <s v="Increasing"/>
    <s v="A"/>
    <n v="1620024183"/>
    <e v="#NAME?"/>
    <e v="#NAME?"/>
  </r>
  <r>
    <x v="0"/>
    <n v="2020"/>
    <x v="0"/>
    <s v="Annual"/>
    <x v="8"/>
    <s v="Personal Income Tax exemption for underground workers"/>
    <s v="General Fossil Fuel Support"/>
    <x v="0"/>
    <n v="2100997"/>
    <n v="2100997"/>
    <s v="Medium Impact"/>
    <n v="-97.678889721551101"/>
    <b v="1"/>
    <n v="4"/>
    <n v="190634414.125"/>
    <s v="Increasing"/>
    <s v="A"/>
    <n v="2100997"/>
    <e v="#NAME?"/>
    <e v="#NAME?"/>
  </r>
  <r>
    <x v="3"/>
    <n v="2020"/>
    <x v="0"/>
    <s v="Annual"/>
    <x v="9"/>
    <s v="Coal Aid to Poor Families (source: Treasury)"/>
    <s v="Coal"/>
    <x v="1"/>
    <n v="1468400000"/>
    <n v="1468400000"/>
    <s v="High Impact"/>
    <n v="20.855967078189298"/>
    <b v="1"/>
    <n v="4"/>
    <n v="1289654122.5"/>
    <s v="Increasing"/>
    <s v="A"/>
    <n v="1468400000"/>
    <e v="#NAME?"/>
    <e v="#NAME?"/>
  </r>
  <r>
    <x v="3"/>
    <n v="2020"/>
    <x v="0"/>
    <s v="Annual"/>
    <x v="8"/>
    <s v="Personal Income Tax exemption for underground workers"/>
    <s v="General Fossil Fuel Support"/>
    <x v="0"/>
    <n v="4911513"/>
    <n v="4911513"/>
    <s v="Medium Impact"/>
    <n v="133.77058605985599"/>
    <b v="1"/>
    <n v="4"/>
    <n v="190634414.125"/>
    <s v="Increasing"/>
    <s v="A"/>
    <n v="4911513"/>
    <e v="#NAME?"/>
    <e v="#NAME?"/>
  </r>
  <r>
    <x v="3"/>
    <n v="2020"/>
    <x v="0"/>
    <s v="Annual"/>
    <x v="10"/>
    <s v="Tax Exemption for Oil and Gas Exploration and Transportation"/>
    <s v="Oil"/>
    <x v="0"/>
    <n v="111013786"/>
    <n v="111013786"/>
    <s v="High Impact"/>
    <n v="-83.350097503069193"/>
    <b v="1"/>
    <n v="4"/>
    <n v="2742906750"/>
    <s v="Increasing"/>
    <s v="A"/>
    <n v="111013786"/>
    <e v="#NAME?"/>
    <e v="#NAME?"/>
  </r>
  <r>
    <x v="3"/>
    <n v="2020"/>
    <x v="0"/>
    <s v="Annual"/>
    <x v="11"/>
    <s v="Construction of Coal Thermal Plants"/>
    <s v="Coal"/>
    <x v="1"/>
    <n v="703716490"/>
    <n v="703716490"/>
    <s v="High Impact"/>
    <m/>
    <b v="1"/>
    <n v="4"/>
    <n v="703716490"/>
    <s v="Stable"/>
    <s v="A"/>
    <n v="703716490"/>
    <e v="#NAME?"/>
    <e v="#NAME?"/>
  </r>
  <r>
    <x v="3"/>
    <n v="2020"/>
    <x v="0"/>
    <s v="Annual"/>
    <x v="12"/>
    <s v="Tax Exemption for LPG Consumption"/>
    <s v="General Fossil Fuel Support"/>
    <x v="0"/>
    <n v="703716490"/>
    <n v="703716490"/>
    <s v="High Impact"/>
    <m/>
    <b v="1"/>
    <n v="4"/>
    <n v="703716490"/>
    <s v="Stable"/>
    <s v="A"/>
    <n v="703716490"/>
    <e v="#NAME?"/>
    <e v="#NAME?"/>
  </r>
  <r>
    <x v="3"/>
    <n v="2020"/>
    <x v="0"/>
    <s v="Annual"/>
    <x v="6"/>
    <s v="Fuel Tax Exemption for Naphta, Petroleum Coke and Petroleum Bitumen"/>
    <s v="Fuel"/>
    <x v="0"/>
    <n v="803740431"/>
    <n v="803740431"/>
    <s v="High Impact"/>
    <n v="-50.387133757990298"/>
    <b v="1"/>
    <n v="4"/>
    <n v="2578410250"/>
    <s v="Increasing"/>
    <s v="A"/>
    <n v="803740431"/>
    <e v="#NAME?"/>
    <e v="#NAME?"/>
  </r>
  <r>
    <x v="3"/>
    <n v="2020"/>
    <x v="0"/>
    <s v="Annual"/>
    <x v="13"/>
    <s v="Corporate Income Tax Rate Reduction"/>
    <s v="General Fossil Fuel Support"/>
    <x v="0"/>
    <n v="148394102"/>
    <n v="148394102"/>
    <s v="High Impact"/>
    <n v="406.00849984851499"/>
    <b v="1"/>
    <n v="4"/>
    <n v="140908336.375"/>
    <s v="Increasing"/>
    <s v="A"/>
    <n v="148394102"/>
    <e v="#NAME?"/>
    <e v="#NAME?"/>
  </r>
  <r>
    <x v="3"/>
    <n v="2020"/>
    <x v="0"/>
    <s v="Annual"/>
    <x v="1"/>
    <s v="Support for Domestic Oil, Natural Gas and Coal Exploration"/>
    <s v="Oil"/>
    <x v="1"/>
    <n v="270747"/>
    <n v="270747"/>
    <s v="Low Impact"/>
    <n v="3916.42189586114"/>
    <b v="1"/>
    <n v="4"/>
    <n v="64491.166666666599"/>
    <s v="Increasing"/>
    <s v="A"/>
    <n v="270747"/>
    <e v="#NAME?"/>
    <e v="#NAME?"/>
  </r>
  <r>
    <x v="3"/>
    <n v="2020"/>
    <x v="0"/>
    <s v="Annual"/>
    <x v="4"/>
    <s v="Value Added Tax refund for building and construction expenses for the investments to be realized within the scope of investment incentive certificate"/>
    <s v="General Fossil Fuel Support"/>
    <x v="0"/>
    <n v="136502"/>
    <n v="136502"/>
    <s v="Low Impact"/>
    <n v="23.607287742683202"/>
    <b v="1"/>
    <n v="4"/>
    <n v="88658573"/>
    <s v="Increasing"/>
    <s v="A"/>
    <n v="136502"/>
    <e v="#NAME?"/>
    <e v="#NAME?"/>
  </r>
  <r>
    <x v="3"/>
    <n v="2020"/>
    <x v="0"/>
    <s v="Annual"/>
    <x v="14"/>
    <s v="Aid to the Hard Coal Industry"/>
    <s v="Coal"/>
    <x v="1"/>
    <n v="806267499"/>
    <n v="806267499"/>
    <s v="High Impact"/>
    <n v="39.292298531409003"/>
    <b v="1"/>
    <n v="4"/>
    <n v="738429122.5"/>
    <s v="Decreasing"/>
    <s v="A"/>
    <n v="806267499"/>
    <e v="#NAME?"/>
    <e v="#NAME?"/>
  </r>
  <r>
    <x v="3"/>
    <n v="2020"/>
    <x v="0"/>
    <s v="Annual"/>
    <x v="11"/>
    <s v="Construction of Coal Thermal Plants"/>
    <s v="Coal"/>
    <x v="1"/>
    <n v="703716490"/>
    <n v="703716490"/>
    <s v="High Impact"/>
    <m/>
    <b v="1"/>
    <n v="4"/>
    <n v="703716490"/>
    <s v="Stable"/>
    <s v="A"/>
    <n v="703716490"/>
    <e v="#NAME?"/>
    <e v="#NAME?"/>
  </r>
  <r>
    <x v="3"/>
    <n v="2020"/>
    <x v="0"/>
    <s v="Annual"/>
    <x v="1"/>
    <s v="Support for Domestic Oil, Natural Gas and Coal Exploration"/>
    <s v="Oil"/>
    <x v="1"/>
    <n v="5800"/>
    <n v="5800"/>
    <s v="Low Impact"/>
    <n v="-97.857778664214194"/>
    <b v="1"/>
    <n v="4"/>
    <n v="64491.166666666599"/>
    <s v="Increasing"/>
    <s v="A"/>
    <n v="5800"/>
    <e v="#NAME?"/>
    <e v="#NAME?"/>
  </r>
  <r>
    <x v="3"/>
    <n v="2020"/>
    <x v="0"/>
    <s v="Annual"/>
    <x v="15"/>
    <s v="R&amp;D Tax credits in Law No:5746 Article 3/1"/>
    <s v="General Fossil Fuel Support"/>
    <x v="0"/>
    <n v="1570406"/>
    <n v="1570406"/>
    <s v="Medium Impact"/>
    <n v="-36.065155968830602"/>
    <b v="1"/>
    <n v="4"/>
    <n v="2167758.375"/>
    <s v="Increasing"/>
    <s v="A"/>
    <n v="1570406"/>
    <e v="#NAME?"/>
    <e v="#NAME?"/>
  </r>
  <r>
    <x v="2"/>
    <n v="2020"/>
    <x v="0"/>
    <s v="Annual"/>
    <x v="8"/>
    <s v="Personal Income Tax exemption for underground workers"/>
    <s v="General Fossil Fuel Support"/>
    <x v="0"/>
    <n v="2129252"/>
    <n v="2129252"/>
    <s v="Medium Impact"/>
    <n v="-56.647737672688599"/>
    <b v="1"/>
    <n v="4"/>
    <n v="190634414.125"/>
    <s v="Increasing"/>
    <s v="A"/>
    <n v="2129252"/>
    <e v="#NAME?"/>
    <e v="#NAME?"/>
  </r>
  <r>
    <x v="3"/>
    <n v="2020"/>
    <x v="0"/>
    <s v="Annual"/>
    <x v="16"/>
    <s v="Fuel Tax Exemption for LPG Used in Ethylene Production"/>
    <s v="Fuel"/>
    <x v="0"/>
    <n v="703716490"/>
    <n v="703716490"/>
    <s v="High Impact"/>
    <m/>
    <b v="1"/>
    <n v="4"/>
    <n v="703716490"/>
    <s v="Stable"/>
    <s v="A"/>
    <n v="703716490"/>
    <e v="#NAME?"/>
    <e v="#NAME?"/>
  </r>
  <r>
    <x v="2"/>
    <n v="2020"/>
    <x v="0"/>
    <s v="Annual"/>
    <x v="17"/>
    <s v="Strategic communication for increasing mining, domestic coal and  nuclear activities"/>
    <s v="General Fossil Fuel Support"/>
    <x v="1"/>
    <n v="537035"/>
    <n v="537035"/>
    <s v="Low Impact"/>
    <n v="-15.374251497005901"/>
    <b v="1"/>
    <n v="4"/>
    <n v="588445.5"/>
    <s v="Decreasing"/>
    <s v="A"/>
    <n v="537035"/>
    <e v="#NAME?"/>
    <e v="#NAME?"/>
  </r>
  <r>
    <x v="3"/>
    <n v="2020"/>
    <x v="0"/>
    <s v="Annual"/>
    <x v="18"/>
    <s v="Fuel Tax Exemption for LPG Used in Aerosol Production"/>
    <s v="Fuel"/>
    <x v="0"/>
    <n v="6450000"/>
    <n v="6450000"/>
    <s v="Medium Impact"/>
    <n v="-89.943559200473899"/>
    <b v="1"/>
    <n v="4"/>
    <n v="74889250"/>
    <s v="Decreasing"/>
    <s v="A"/>
    <n v="6450000"/>
    <e v="#NAME?"/>
    <e v="#NAME?"/>
  </r>
  <r>
    <x v="2"/>
    <n v="2020"/>
    <x v="0"/>
    <s v="Annual"/>
    <x v="13"/>
    <s v="Corporate Income Tax Rate Reduction"/>
    <s v="General Fossil Fuel Support"/>
    <x v="0"/>
    <n v="30704000"/>
    <n v="30704000"/>
    <s v="Medium Impact"/>
    <n v="-79.309150710046396"/>
    <b v="1"/>
    <n v="4"/>
    <n v="140908336.375"/>
    <s v="Increasing"/>
    <s v="A"/>
    <n v="30704000"/>
    <e v="#NAME?"/>
    <e v="#NAME?"/>
  </r>
  <r>
    <x v="3"/>
    <n v="2020"/>
    <x v="0"/>
    <s v="Annual"/>
    <x v="19"/>
    <s v="Tax Exemption for the Transportation and Distribution of Oil and Gas"/>
    <s v="Oil"/>
    <x v="0"/>
    <n v="703716490"/>
    <n v="703716490"/>
    <s v="High Impact"/>
    <m/>
    <b v="1"/>
    <n v="4"/>
    <n v="703716490"/>
    <s v="Stable"/>
    <s v="A"/>
    <n v="703716490"/>
    <e v="#NAME?"/>
    <e v="#NAME?"/>
  </r>
  <r>
    <x v="2"/>
    <n v="2020"/>
    <x v="0"/>
    <s v="Annual"/>
    <x v="1"/>
    <s v="Support for Domestic Oil, Natural Gas and Coal Exploration"/>
    <s v="Oil"/>
    <x v="1"/>
    <n v="62875"/>
    <n v="62875"/>
    <s v="Low Impact"/>
    <n v="984.05172413793002"/>
    <b v="1"/>
    <n v="4"/>
    <n v="64491.166666666599"/>
    <s v="Increasing"/>
    <s v="A"/>
    <n v="62875"/>
    <e v="#NAME?"/>
    <e v="#NAME?"/>
  </r>
  <r>
    <x v="3"/>
    <n v="2020"/>
    <x v="0"/>
    <s v="Annual"/>
    <x v="22"/>
    <s v="Capacity mechanism payments for Natural Gas"/>
    <s v="Natural Gas"/>
    <x v="1"/>
    <n v="1617969430"/>
    <n v="1617969430"/>
    <s v="High Impact"/>
    <n v="98.140417536871198"/>
    <b v="1"/>
    <n v="4"/>
    <n v="1391639889.75"/>
    <s v="Increasing"/>
    <s v="A"/>
    <n v="1617969430"/>
    <e v="#NAME?"/>
    <e v="#NAME?"/>
  </r>
  <r>
    <x v="3"/>
    <n v="2020"/>
    <x v="0"/>
    <s v="Annual"/>
    <x v="0"/>
    <s v="Value Added Tax Exemption for Imported and/or Locally Provided Investment Machinery within the Scope of Incentive Certificates"/>
    <s v="General Fossil Fuel Support"/>
    <x v="0"/>
    <n v="29299108"/>
    <n v="29299108"/>
    <s v="Medium Impact"/>
    <n v="241.01880432606501"/>
    <b v="1"/>
    <n v="4"/>
    <n v="99912404.875"/>
    <s v="Increasing"/>
    <s v="A"/>
    <n v="29299108"/>
    <e v="#NAME?"/>
    <e v="#NAME?"/>
  </r>
  <r>
    <x v="3"/>
    <n v="2020"/>
    <x v="0"/>
    <s v="Annual"/>
    <x v="19"/>
    <s v="Tax Exemption for the Transportation and Distribution of Oil and Gas"/>
    <s v="Oil"/>
    <x v="0"/>
    <n v="703716490"/>
    <n v="703716490"/>
    <s v="High Impact"/>
    <m/>
    <b v="1"/>
    <n v="4"/>
    <n v="703716490"/>
    <s v="Stable"/>
    <s v="A"/>
    <n v="703716490"/>
    <e v="#NAME?"/>
    <e v="#NAME?"/>
  </r>
  <r>
    <x v="3"/>
    <n v="2020"/>
    <x v="0"/>
    <s v="Annual"/>
    <x v="20"/>
    <s v="Personel Income Withholding Tax Support for R&amp;D personnel"/>
    <s v="General Fossil Fuel Support"/>
    <x v="0"/>
    <n v="356945"/>
    <n v="356945"/>
    <s v="Low Impact"/>
    <n v="-96.750048802303994"/>
    <b v="1"/>
    <n v="4"/>
    <n v="16440389.375"/>
    <s v="Increasing"/>
    <s v="A"/>
    <n v="356945"/>
    <e v="#NAME?"/>
    <e v="#NAME?"/>
  </r>
  <r>
    <x v="3"/>
    <n v="2020"/>
    <x v="0"/>
    <s v="Annual"/>
    <x v="21"/>
    <s v="Fuel Tax Exemption for Domestic Commercial Aviation"/>
    <s v="Fuel"/>
    <x v="0"/>
    <n v="3785303000"/>
    <n v="3785303000"/>
    <s v="High Impact"/>
    <n v="68.779233032245102"/>
    <b v="1"/>
    <n v="4"/>
    <n v="4078783500"/>
    <s v="Increasing"/>
    <s v="A"/>
    <n v="3785303000"/>
    <e v="#NAME?"/>
    <e v="#NAME?"/>
  </r>
  <r>
    <x v="3"/>
    <n v="2020"/>
    <x v="0"/>
    <s v="Annual"/>
    <x v="19"/>
    <s v="Tax Exemption for the Transportation and Distribution of Oil and Gas"/>
    <s v="Oil"/>
    <x v="0"/>
    <n v="703716490"/>
    <n v="703716490"/>
    <s v="High Impact"/>
    <m/>
    <b v="1"/>
    <n v="4"/>
    <n v="703716490"/>
    <s v="Stable"/>
    <s v="A"/>
    <n v="703716490"/>
    <e v="#NAME?"/>
    <e v="#NAME?"/>
  </r>
  <r>
    <x v="3"/>
    <n v="2020"/>
    <x v="0"/>
    <s v="Annual"/>
    <x v="8"/>
    <s v="Personal Income Tax exemption for underground workers"/>
    <s v="General Fossil Fuel Support"/>
    <x v="0"/>
    <n v="20417350"/>
    <n v="20417350"/>
    <s v="Medium Impact"/>
    <n v="858.89777255111096"/>
    <b v="1"/>
    <n v="4"/>
    <n v="190634414.125"/>
    <s v="Increasing"/>
    <s v="A"/>
    <n v="20417350"/>
    <e v="#NAME?"/>
    <e v="#NAME?"/>
  </r>
  <r>
    <x v="3"/>
    <n v="2020"/>
    <x v="0"/>
    <s v="Annual"/>
    <x v="22"/>
    <s v="Capacity mechanism payments for Natural Gas"/>
    <s v="Natural Gas"/>
    <x v="1"/>
    <n v="1075093066"/>
    <n v="1075093066"/>
    <s v="High Impact"/>
    <n v="-33.552943209810799"/>
    <b v="1"/>
    <n v="4"/>
    <n v="1391639889.75"/>
    <s v="Increasing"/>
    <s v="A"/>
    <n v="1075093066"/>
    <e v="#NAME?"/>
    <e v="#NAME?"/>
  </r>
  <r>
    <x v="3"/>
    <n v="2020"/>
    <x v="0"/>
    <s v="Annual"/>
    <x v="8"/>
    <s v="Personal Income Tax exemption for underground workers"/>
    <s v="General Fossil Fuel Support"/>
    <x v="0"/>
    <n v="2251683"/>
    <n v="2251683"/>
    <s v="Medium Impact"/>
    <n v="-88.971717681285696"/>
    <b v="1"/>
    <n v="4"/>
    <n v="190634414.125"/>
    <s v="Increasing"/>
    <s v="A"/>
    <n v="2251683"/>
    <e v="#NAME?"/>
    <e v="#NAME?"/>
  </r>
  <r>
    <x v="3"/>
    <n v="2020"/>
    <x v="0"/>
    <s v="Annual"/>
    <x v="7"/>
    <s v="Fuel Tax Exemption for Fuel Oil and Diesel Used for Electricity Generation"/>
    <s v="Oil"/>
    <x v="0"/>
    <n v="703716490"/>
    <n v="703716490"/>
    <s v="High Impact"/>
    <m/>
    <b v="1"/>
    <n v="4"/>
    <n v="703716490"/>
    <s v="Stable"/>
    <s v="A"/>
    <n v="703716490"/>
    <e v="#NAME?"/>
    <e v="#NAME?"/>
  </r>
  <r>
    <x v="3"/>
    <n v="2020"/>
    <x v="0"/>
    <s v="Annual"/>
    <x v="14"/>
    <s v="Aid to the Hard Coal Industry"/>
    <s v="Coal"/>
    <x v="1"/>
    <n v="693732501"/>
    <n v="693732501"/>
    <s v="High Impact"/>
    <n v="-13.957526272555301"/>
    <b v="1"/>
    <n v="4"/>
    <n v="738429122.5"/>
    <s v="Decreasing"/>
    <s v="A"/>
    <n v="693732501"/>
    <e v="#NAME?"/>
    <e v="#NAME?"/>
  </r>
  <r>
    <x v="3"/>
    <n v="2020"/>
    <x v="0"/>
    <s v="Annual"/>
    <x v="1"/>
    <s v="Support for Domestic Oil, Natural Gas and Coal Exploration"/>
    <s v="Oil"/>
    <x v="1"/>
    <n v="5643"/>
    <n v="5643"/>
    <s v="Low Impact"/>
    <n v="-91.0250497017892"/>
    <b v="1"/>
    <n v="4"/>
    <n v="64491.166666666599"/>
    <s v="Increasing"/>
    <s v="A"/>
    <n v="5643"/>
    <e v="#NAME?"/>
    <e v="#NAME?"/>
  </r>
  <r>
    <x v="3"/>
    <n v="2020"/>
    <x v="0"/>
    <s v="Annual"/>
    <x v="23"/>
    <s v="Personal Income Withholding Tax Support for Investments with Incentive Certificates"/>
    <s v="General Fossil Fuel Support"/>
    <x v="0"/>
    <n v="454438"/>
    <n v="454438"/>
    <s v="Low Impact"/>
    <n v="278.69833333333298"/>
    <b v="1"/>
    <n v="4"/>
    <n v="351976579.75"/>
    <s v="Increasing"/>
    <s v="A"/>
    <n v="454438"/>
    <e v="#NAME?"/>
    <e v="#NAME?"/>
  </r>
  <r>
    <x v="2"/>
    <n v="2020"/>
    <x v="0"/>
    <s v="Annual"/>
    <x v="2"/>
    <s v="R&amp;D Tax credits in Law No:5746 Article 3/A"/>
    <s v="General Fossil Fuel Support"/>
    <x v="0"/>
    <n v="96962"/>
    <n v="96962"/>
    <s v="Low Impact"/>
    <n v="-44.444253456406003"/>
    <b v="1"/>
    <n v="4"/>
    <n v="153547.625"/>
    <s v="Decreasing"/>
    <s v="A"/>
    <n v="96962"/>
    <e v="#NAME?"/>
    <e v="#NAME?"/>
  </r>
  <r>
    <x v="3"/>
    <n v="2020"/>
    <x v="0"/>
    <s v="Annual"/>
    <x v="24"/>
    <s v="Fuel Tax Exemption for Diesel Blended with Domestically Sourced Biodiesel"/>
    <s v="Fuel"/>
    <x v="0"/>
    <n v="53033000"/>
    <n v="53033000"/>
    <s v="Medium Impact"/>
    <n v="-69.102010615303001"/>
    <b v="1"/>
    <n v="4"/>
    <n v="156832250"/>
    <s v="Decreasing"/>
    <s v="A"/>
    <n v="53033000"/>
    <e v="#NAME?"/>
    <e v="#NAME?"/>
  </r>
  <r>
    <x v="1"/>
    <n v="2020"/>
    <x v="0"/>
    <s v="Annual"/>
    <x v="8"/>
    <s v="Personal Income Tax exemption for underground workers"/>
    <s v="General Fossil Fuel Support"/>
    <x v="0"/>
    <n v="703716490"/>
    <n v="703716490"/>
    <s v="High Impact"/>
    <n v="31152.911266816802"/>
    <b v="1"/>
    <n v="4"/>
    <n v="190634414.125"/>
    <s v="Increasing"/>
    <s v="A"/>
    <n v="703716490"/>
    <e v="#NAME?"/>
    <e v="#NAME?"/>
  </r>
  <r>
    <x v="3"/>
    <n v="2020"/>
    <x v="0"/>
    <s v="Annual"/>
    <x v="25"/>
    <s v="Fuel Tax Exemption for Diesel Used by Export Vehicles"/>
    <s v="Fuel"/>
    <x v="0"/>
    <n v="353431000"/>
    <n v="353431000"/>
    <s v="High Impact"/>
    <n v="-50.975344175885098"/>
    <b v="1"/>
    <n v="4"/>
    <n v="614407000"/>
    <s v="Increasing"/>
    <s v="A"/>
    <n v="353431000"/>
    <e v="#NAME?"/>
    <e v="#NAME?"/>
  </r>
  <r>
    <x v="3"/>
    <n v="2020"/>
    <x v="0"/>
    <s v="Annual"/>
    <x v="15"/>
    <s v="R&amp;D Tax credits in Law No:5746 Article 3/1"/>
    <s v="General Fossil Fuel Support"/>
    <x v="0"/>
    <n v="1794750"/>
    <n v="1794750"/>
    <s v="Medium Impact"/>
    <n v="14.2857324793715"/>
    <b v="1"/>
    <n v="4"/>
    <n v="2167758.375"/>
    <s v="Increasing"/>
    <s v="A"/>
    <n v="1794750"/>
    <e v="#NAME?"/>
    <e v="#NAME?"/>
  </r>
  <r>
    <x v="3"/>
    <n v="2020"/>
    <x v="0"/>
    <s v="Annual"/>
    <x v="3"/>
    <s v="Fuel Tax Exemption for Vehicles Used for National Security"/>
    <s v="Fuel"/>
    <x v="0"/>
    <n v="703716490"/>
    <n v="703716490"/>
    <s v="High Impact"/>
    <m/>
    <b v="1"/>
    <n v="4"/>
    <n v="703716490"/>
    <s v="Stable"/>
    <s v="A"/>
    <n v="703716490"/>
    <e v="#NAME?"/>
    <e v="#NAME?"/>
  </r>
  <r>
    <x v="3"/>
    <n v="2020"/>
    <x v="0"/>
    <s v="Annual"/>
    <x v="6"/>
    <s v="Fuel Tax Exemption for Naphta, Petroleum Coke and Petroleum Bitumen"/>
    <s v="Fuel"/>
    <x v="0"/>
    <n v="4673535620"/>
    <n v="4673535620"/>
    <s v="High Impact"/>
    <n v="481.47325177921698"/>
    <b v="1"/>
    <n v="4"/>
    <n v="2578410250"/>
    <s v="Increasing"/>
    <s v="A"/>
    <n v="4673535620"/>
    <e v="#NAME?"/>
    <e v="#NAME?"/>
  </r>
  <r>
    <x v="3"/>
    <n v="2020"/>
    <x v="0"/>
    <s v="Annual"/>
    <x v="0"/>
    <s v="Value Added Tax Exemption for Imported and/or Locally Provided Investment Machinery within the Scope of Incentive Certificates"/>
    <s v="General Fossil Fuel Support"/>
    <x v="0"/>
    <n v="11427263"/>
    <n v="11427263"/>
    <s v="Medium Impact"/>
    <n v="-60.997915021849799"/>
    <b v="1"/>
    <n v="4"/>
    <n v="99912404.875"/>
    <s v="Increasing"/>
    <s v="A"/>
    <n v="11427263"/>
    <e v="#NAME?"/>
    <e v="#NAME?"/>
  </r>
  <r>
    <x v="3"/>
    <n v="2020"/>
    <x v="0"/>
    <s v="Annual"/>
    <x v="11"/>
    <s v="Construction of Coal Thermal Plants"/>
    <s v="Coal"/>
    <x v="1"/>
    <n v="703716490"/>
    <n v="703716490"/>
    <s v="High Impact"/>
    <m/>
    <b v="1"/>
    <n v="4"/>
    <n v="703716490"/>
    <s v="Stable"/>
    <s v="A"/>
    <n v="703716490"/>
    <e v="#NAME?"/>
    <e v="#NAME?"/>
  </r>
  <r>
    <x v="3"/>
    <n v="2020"/>
    <x v="0"/>
    <s v="Annual"/>
    <x v="20"/>
    <s v="Personel Income Withholding Tax Support for R&amp;D personnel"/>
    <s v="General Fossil Fuel Support"/>
    <x v="0"/>
    <n v="17126873"/>
    <n v="17126873"/>
    <s v="Medium Impact"/>
    <n v="4698.1826331787797"/>
    <b v="1"/>
    <n v="4"/>
    <n v="16440389.375"/>
    <s v="Increasing"/>
    <s v="A"/>
    <n v="17126873"/>
    <e v="#NAME?"/>
    <e v="#NAME?"/>
  </r>
  <r>
    <x v="3"/>
    <n v="2020"/>
    <x v="0"/>
    <s v="Annual"/>
    <x v="3"/>
    <s v="Fuel Tax Exemption for Vehicles Used for National Security"/>
    <s v="Fuel"/>
    <x v="0"/>
    <n v="703716490"/>
    <n v="703716490"/>
    <s v="High Impact"/>
    <m/>
    <b v="1"/>
    <n v="4"/>
    <n v="703716490"/>
    <s v="Stable"/>
    <s v="A"/>
    <n v="703716490"/>
    <e v="#NAME?"/>
    <e v="#NAME?"/>
  </r>
  <r>
    <x v="3"/>
    <n v="2020"/>
    <x v="0"/>
    <s v="Annual"/>
    <x v="11"/>
    <s v="Construction of Coal Thermal Plants"/>
    <s v="Coal"/>
    <x v="1"/>
    <n v="703716490"/>
    <n v="703716490"/>
    <s v="High Impact"/>
    <m/>
    <b v="1"/>
    <n v="4"/>
    <n v="703716490"/>
    <s v="Stable"/>
    <s v="A"/>
    <n v="703716490"/>
    <e v="#NAME?"/>
    <e v="#NAME?"/>
  </r>
  <r>
    <x v="3"/>
    <n v="2020"/>
    <x v="0"/>
    <s v="Annual"/>
    <x v="23"/>
    <s v="Personal Income Withholding Tax Support for Investments with Incentive Certificates"/>
    <s v="General Fossil Fuel Support"/>
    <x v="0"/>
    <n v="177240"/>
    <n v="177240"/>
    <s v="Low Impact"/>
    <n v="-60.997979922453602"/>
    <b v="1"/>
    <n v="4"/>
    <n v="351976579.75"/>
    <s v="Increasing"/>
    <s v="A"/>
    <n v="177240"/>
    <e v="#NAME?"/>
    <e v="#NAME?"/>
  </r>
  <r>
    <x v="3"/>
    <n v="2020"/>
    <x v="0"/>
    <s v="Annual"/>
    <x v="10"/>
    <s v="Tax Exemption for Oil and Gas Exploration and Transportation"/>
    <s v="Oil"/>
    <x v="0"/>
    <n v="1202636214"/>
    <n v="1202636214"/>
    <s v="High Impact"/>
    <n v="983.32150207002201"/>
    <b v="1"/>
    <n v="4"/>
    <n v="2742906750"/>
    <s v="Increasing"/>
    <s v="A"/>
    <n v="1202636214"/>
    <e v="#NAME?"/>
    <e v="#NAME?"/>
  </r>
  <r>
    <x v="3"/>
    <n v="2020"/>
    <x v="0"/>
    <s v="Annual"/>
    <x v="1"/>
    <s v="Support for Domestic Oil, Natural Gas and Coal Exploration"/>
    <s v="Oil"/>
    <x v="1"/>
    <n v="61129"/>
    <n v="61129"/>
    <s v="Low Impact"/>
    <n v="983.27130958709904"/>
    <b v="1"/>
    <n v="4"/>
    <n v="64491.166666666599"/>
    <s v="Increasing"/>
    <s v="A"/>
    <n v="61129"/>
    <e v="#NAME?"/>
    <e v="#NAME?"/>
  </r>
  <r>
    <x v="0"/>
    <n v="2020"/>
    <x v="0"/>
    <s v="Annual"/>
    <x v="1"/>
    <s v="Support for Domestic Oil, Natural Gas and Coal Exploration"/>
    <s v="Oil"/>
    <x v="1"/>
    <n v="72664"/>
    <n v="72664"/>
    <s v="Low Impact"/>
    <n v="18.8699308020743"/>
    <b v="1"/>
    <n v="4"/>
    <n v="64491.166666666599"/>
    <s v="Increasing"/>
    <s v="A"/>
    <n v="72664"/>
    <e v="#NAME?"/>
    <e v="#NAME?"/>
  </r>
  <r>
    <x v="1"/>
    <n v="2020"/>
    <x v="0"/>
    <s v="Annual"/>
    <x v="1"/>
    <s v="Support for Domestic Oil, Natural Gas and Coal Exploration"/>
    <s v="Oil"/>
    <x v="1"/>
    <n v="76090"/>
    <n v="76090"/>
    <s v="Low Impact"/>
    <n v="4.7148519211714204"/>
    <b v="1"/>
    <n v="4"/>
    <n v="64491.166666666599"/>
    <s v="Increasing"/>
    <s v="A"/>
    <n v="76090"/>
    <e v="#NAME?"/>
    <e v="#NAME?"/>
  </r>
  <r>
    <x v="0"/>
    <n v="2020"/>
    <x v="0"/>
    <s v="Annual"/>
    <x v="22"/>
    <s v="Capacity mechanism payments for Natural Gas"/>
    <s v="Natural Gas"/>
    <x v="1"/>
    <n v="708695719"/>
    <n v="708695719"/>
    <s v="High Impact"/>
    <n v="-34.080523685565197"/>
    <b v="1"/>
    <n v="4"/>
    <n v="1391639889.75"/>
    <s v="Increasing"/>
    <s v="A"/>
    <n v="708695719"/>
    <e v="#NAME?"/>
    <e v="#NAME?"/>
  </r>
  <r>
    <x v="1"/>
    <n v="2020"/>
    <x v="0"/>
    <s v="Annual"/>
    <x v="22"/>
    <s v="Capacity mechanism payments for Natural Gas"/>
    <s v="Natural Gas"/>
    <x v="1"/>
    <n v="1176373280"/>
    <n v="1176373280"/>
    <s v="High Impact"/>
    <n v="65.991306065727699"/>
    <b v="1"/>
    <n v="4"/>
    <n v="1391639889.75"/>
    <s v="Increasing"/>
    <s v="A"/>
    <n v="1176373280"/>
    <e v="#NAME?"/>
    <e v="#NAME?"/>
  </r>
  <r>
    <x v="2"/>
    <n v="2020"/>
    <x v="0"/>
    <s v="Annual"/>
    <x v="22"/>
    <s v="Capacity mechanism payments for Natural Gas"/>
    <s v="Natural Gas"/>
    <x v="1"/>
    <n v="1228126477"/>
    <n v="1228126477"/>
    <s v="High Impact"/>
    <n v="4.3993856269839799"/>
    <b v="1"/>
    <n v="4"/>
    <n v="1391639889.75"/>
    <s v="Increasing"/>
    <s v="A"/>
    <n v="1228126477"/>
    <e v="#NAME?"/>
    <e v="#NAME?"/>
  </r>
  <r>
    <x v="4"/>
    <m/>
    <x v="1"/>
    <m/>
    <x v="26"/>
    <m/>
    <m/>
    <x v="2"/>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x v="0"/>
    <x v="0"/>
    <s v="Aid to the Hard Coal Industry"/>
    <x v="0"/>
    <x v="0"/>
    <n v="1500000000"/>
    <n v="4757144417.999999"/>
    <s v="N/A"/>
  </r>
  <r>
    <x v="1"/>
    <x v="0"/>
    <s v="Aid to the Hard Coal Industry"/>
    <x v="0"/>
    <x v="0"/>
    <n v="1500000000"/>
    <n v="3977545499.9999995"/>
    <n v="-0.1638795986622073"/>
  </r>
  <r>
    <x v="2"/>
    <x v="0"/>
    <s v="Aid to the Hard Coal Industry"/>
    <x v="0"/>
    <x v="0"/>
    <n v="1500000000"/>
    <n v="2308500000"/>
    <n v="-0.41961694718514214"/>
  </r>
  <r>
    <x v="3"/>
    <x v="0"/>
    <s v="Aid to the Hard Coal Industry"/>
    <x v="0"/>
    <x v="0"/>
    <n v="1407432980"/>
    <n v="1407432980"/>
    <n v="-0.39032576131687241"/>
  </r>
  <r>
    <x v="0"/>
    <x v="1"/>
    <s v="Capacity mechanism payments for Natural Gas"/>
    <x v="1"/>
    <x v="0"/>
    <n v="2044703655"/>
    <n v="6484633719.2316303"/>
    <s v="N/A"/>
  </r>
  <r>
    <x v="1"/>
    <x v="1"/>
    <s v="Capacity mechanism payments for Natural Gas"/>
    <x v="1"/>
    <x v="0"/>
    <n v="2693062496"/>
    <n v="7141185741.4557104"/>
    <n v="0.10124735654335083"/>
  </r>
  <r>
    <x v="2"/>
    <x v="1"/>
    <s v="Capacity mechanism payments for Natural Gas"/>
    <x v="1"/>
    <x v="0"/>
    <n v="2729279431"/>
    <n v="4200361044.309"/>
    <n v="-0.41181181999996985"/>
  </r>
  <r>
    <x v="3"/>
    <x v="1"/>
    <s v="Capacity mechanism payments for Natural Gas"/>
    <x v="1"/>
    <x v="0"/>
    <n v="3666073536"/>
    <n v="3666073536"/>
    <n v="-0.12720037698494926"/>
  </r>
  <r>
    <x v="0"/>
    <x v="2"/>
    <s v="Coal Aid to Poor Families (source: Treasury)"/>
    <x v="0"/>
    <x v="0"/>
    <n v="1215000000"/>
    <n v="3853286978.5799994"/>
    <s v="N/A"/>
  </r>
  <r>
    <x v="1"/>
    <x v="2"/>
    <s v="Coal Aid to Poor Families (source: Treasury)"/>
    <x v="0"/>
    <x v="0"/>
    <n v="1468400000"/>
    <n v="3893751874.7999992"/>
    <n v="1.0501396974826873E-2"/>
  </r>
  <r>
    <x v="2"/>
    <x v="2"/>
    <s v="Coal Aid to Poor Families (source: Treasury)"/>
    <x v="0"/>
    <x v="0"/>
    <n v="1771500000"/>
    <n v="2726338500"/>
    <n v="-0.29981709475516155"/>
  </r>
  <r>
    <x v="3"/>
    <x v="2"/>
    <s v="Coal Aid to Poor Families (source: Treasury)"/>
    <x v="0"/>
    <x v="0"/>
    <n v="703716490"/>
    <n v="703716490"/>
    <n v="-0.74188220208165645"/>
  </r>
  <r>
    <x v="0"/>
    <x v="3"/>
    <s v="Construction of Coal Thermal Plants"/>
    <x v="0"/>
    <x v="0"/>
    <n v="2814865960"/>
    <n v="8927149259.354805"/>
    <s v="N/A"/>
  </r>
  <r>
    <x v="1"/>
    <x v="3"/>
    <s v="Construction of Coal Thermal Plants"/>
    <x v="0"/>
    <x v="0"/>
    <n v="2814865960"/>
    <n v="7464171621.5341187"/>
    <n v="-0.16387959866220728"/>
  </r>
  <r>
    <x v="2"/>
    <x v="3"/>
    <s v="Construction of Coal Thermal Plants"/>
    <x v="0"/>
    <x v="0"/>
    <n v="2814865960"/>
    <n v="4332078712.4399996"/>
    <n v="-0.41961694718514214"/>
  </r>
  <r>
    <x v="3"/>
    <x v="3"/>
    <s v="Construction of Coal Thermal Plants"/>
    <x v="0"/>
    <x v="0"/>
    <n v="2814865960"/>
    <n v="2814865960"/>
    <n v="-0.35022742040285892"/>
  </r>
  <r>
    <x v="0"/>
    <x v="4"/>
    <s v="Corporate Income Tax Rate Reduction"/>
    <x v="2"/>
    <x v="1"/>
    <n v="80724000"/>
    <n v="256010483.99908796"/>
    <s v="N/A"/>
  </r>
  <r>
    <x v="1"/>
    <x v="4"/>
    <s v="Corporate Income Tax Rate Reduction"/>
    <x v="2"/>
    <x v="1"/>
    <n v="206270897"/>
    <n v="546967918.76220894"/>
    <n v="1.1365059360778269"/>
  </r>
  <r>
    <x v="2"/>
    <x v="4"/>
    <s v="Corporate Income Tax Rate Reduction"/>
    <x v="2"/>
    <x v="1"/>
    <n v="107228899"/>
    <n v="165025275.56099999"/>
    <n v="-0.69829075910987071"/>
  </r>
  <r>
    <x v="3"/>
    <x v="4"/>
    <s v="Corporate Income Tax Rate Reduction"/>
    <x v="2"/>
    <x v="1"/>
    <n v="733042895"/>
    <n v="733042895"/>
    <n v="3.4420037628056424"/>
  </r>
  <r>
    <x v="0"/>
    <x v="5"/>
    <s v="Fuel Tax Exemption for Diesel Blended with Domestically Sourced Biodiesel"/>
    <x v="3"/>
    <x v="1"/>
    <n v="171639000"/>
    <n v="544341007.17406785"/>
    <s v="N/A"/>
  </r>
  <r>
    <x v="1"/>
    <x v="5"/>
    <s v="Fuel Tax Exemption for Diesel Blended with Domestically Sourced Biodiesel"/>
    <x v="3"/>
    <x v="1"/>
    <n v="53033000"/>
    <n v="140627447.00099999"/>
    <n v="-0.74165560715136325"/>
  </r>
  <r>
    <x v="2"/>
    <x v="5"/>
    <s v="Fuel Tax Exemption for Diesel Blended with Domestically Sourced Biodiesel"/>
    <x v="3"/>
    <x v="1"/>
    <n v="149270000"/>
    <n v="229726530"/>
    <n v="0.63358245420160719"/>
  </r>
  <r>
    <x v="3"/>
    <x v="5"/>
    <s v="Fuel Tax Exemption for Diesel Blended with Domestically Sourced Biodiesel"/>
    <x v="3"/>
    <x v="1"/>
    <n v="253387000"/>
    <n v="253387000"/>
    <n v="0.10299406864326902"/>
  </r>
  <r>
    <x v="0"/>
    <x v="6"/>
    <s v="Fuel Tax Exemption for Diesel Used by Export Vehicles"/>
    <x v="3"/>
    <x v="1"/>
    <n v="720925000"/>
    <n v="2286362893.0310998"/>
    <s v="N/A"/>
  </r>
  <r>
    <x v="1"/>
    <x v="6"/>
    <s v="Fuel Tax Exemption for Diesel Used by Export Vehicles"/>
    <x v="3"/>
    <x v="1"/>
    <n v="353431000"/>
    <n v="937191922.40699983"/>
    <n v="-0.59009485096893943"/>
  </r>
  <r>
    <x v="2"/>
    <x v="6"/>
    <s v="Fuel Tax Exemption for Diesel Used by Export Vehicles"/>
    <x v="3"/>
    <x v="1"/>
    <n v="512797000"/>
    <n v="789194583"/>
    <n v="-0.15791572234948067"/>
  </r>
  <r>
    <x v="3"/>
    <x v="6"/>
    <s v="Fuel Tax Exemption for Diesel Used by Export Vehicles"/>
    <x v="3"/>
    <x v="1"/>
    <n v="870475000"/>
    <n v="870475000"/>
    <n v="0.10299160530350472"/>
  </r>
  <r>
    <x v="0"/>
    <x v="7"/>
    <s v="Fuel Tax Exemption for Domestic Commercial Aviation"/>
    <x v="3"/>
    <x v="1"/>
    <n v="2242754000"/>
    <n v="7112736448.0314465"/>
    <s v="N/A"/>
  </r>
  <r>
    <x v="1"/>
    <x v="7"/>
    <s v="Fuel Tax Exemption for Domestic Commercial Aviation"/>
    <x v="3"/>
    <x v="1"/>
    <n v="3785303000"/>
    <n v="10037476609.190998"/>
    <n v="0.41119760060405669"/>
  </r>
  <r>
    <x v="2"/>
    <x v="7"/>
    <s v="Fuel Tax Exemption for Domestic Commercial Aviation"/>
    <x v="3"/>
    <x v="1"/>
    <n v="4736847000"/>
    <n v="7290007533"/>
    <n v="-0.27372109377323262"/>
  </r>
  <r>
    <x v="3"/>
    <x v="7"/>
    <s v="Fuel Tax Exemption for Domestic Commercial Aviation"/>
    <x v="3"/>
    <x v="1"/>
    <n v="5550230000"/>
    <n v="5550230000"/>
    <n v="-0.23865236422931965"/>
  </r>
  <r>
    <x v="0"/>
    <x v="8"/>
    <s v="Fuel Tax Exemption for Fuel Oil and Diesel Used for Electricity Generation"/>
    <x v="4"/>
    <x v="1"/>
    <n v="1407432980"/>
    <n v="4463574629.6774025"/>
    <s v="N/A"/>
  </r>
  <r>
    <x v="1"/>
    <x v="8"/>
    <s v="Fuel Tax Exemption for Fuel Oil and Diesel Used for Electricity Generation"/>
    <x v="4"/>
    <x v="1"/>
    <n v="1407432980"/>
    <n v="3732085810.7670593"/>
    <n v="-0.16387959866220728"/>
  </r>
  <r>
    <x v="2"/>
    <x v="8"/>
    <s v="Fuel Tax Exemption for Fuel Oil and Diesel Used for Electricity Generation"/>
    <x v="4"/>
    <x v="1"/>
    <n v="1407432980"/>
    <n v="2166039356.2199998"/>
    <n v="-0.41961694718514214"/>
  </r>
  <r>
    <x v="3"/>
    <x v="8"/>
    <s v="Fuel Tax Exemption for Fuel Oil and Diesel Used for Electricity Generation"/>
    <x v="4"/>
    <x v="1"/>
    <n v="1407432980"/>
    <n v="1407432980"/>
    <n v="-0.35022742040285892"/>
  </r>
  <r>
    <x v="0"/>
    <x v="9"/>
    <s v="Fuel Tax Exemption for LPG Used in Aerosol Production"/>
    <x v="3"/>
    <x v="1"/>
    <n v="64138000"/>
    <n v="203409152.45445597"/>
    <s v="N/A"/>
  </r>
  <r>
    <x v="1"/>
    <x v="9"/>
    <s v="Fuel Tax Exemption for LPG Used in Aerosol Production"/>
    <x v="3"/>
    <x v="1"/>
    <n v="6450000"/>
    <n v="17103445.649999999"/>
    <n v="-0.91591604682670547"/>
  </r>
  <r>
    <x v="2"/>
    <x v="9"/>
    <s v="Fuel Tax Exemption for LPG Used in Aerosol Production"/>
    <x v="3"/>
    <x v="1"/>
    <n v="84882000"/>
    <n v="130633398"/>
    <n v="6.6378409750435292"/>
  </r>
  <r>
    <x v="3"/>
    <x v="9"/>
    <s v="Fuel Tax Exemption for LPG Used in Aerosol Production"/>
    <x v="3"/>
    <x v="1"/>
    <n v="144087000"/>
    <n v="144087000"/>
    <n v="0.10298746113914911"/>
  </r>
  <r>
    <x v="0"/>
    <x v="10"/>
    <s v="Fuel Tax Exemption for LPG Used in Ethylene Production"/>
    <x v="3"/>
    <x v="1"/>
    <n v="703716490"/>
    <n v="2231787314.8387012"/>
    <s v="N/A"/>
  </r>
  <r>
    <x v="1"/>
    <x v="10"/>
    <s v="Fuel Tax Exemption for LPG Used in Ethylene Production"/>
    <x v="3"/>
    <x v="1"/>
    <n v="703716490"/>
    <n v="1866042905.3835297"/>
    <n v="-0.16387959866220728"/>
  </r>
  <r>
    <x v="2"/>
    <x v="10"/>
    <s v="Fuel Tax Exemption for LPG Used in Ethylene Production"/>
    <x v="3"/>
    <x v="1"/>
    <n v="703716490"/>
    <n v="1083019678.1099999"/>
    <n v="-0.41961694718514214"/>
  </r>
  <r>
    <x v="3"/>
    <x v="10"/>
    <s v="Fuel Tax Exemption for LPG Used in Ethylene Production"/>
    <x v="3"/>
    <x v="1"/>
    <n v="703716490"/>
    <n v="703716490"/>
    <n v="-0.35022742040285892"/>
  </r>
  <r>
    <x v="0"/>
    <x v="11"/>
    <s v="Fuel Tax Exemption for Naphta, Petroleum Coke and Petroleum Bitumen"/>
    <x v="3"/>
    <x v="1"/>
    <n v="8431928000"/>
    <n v="26741266145.451931"/>
    <s v="N/A"/>
  </r>
  <r>
    <x v="1"/>
    <x v="11"/>
    <s v="Fuel Tax Exemption for Naphta, Petroleum Coke and Petroleum Bitumen"/>
    <x v="3"/>
    <x v="1"/>
    <n v="7432833000"/>
    <n v="19709620967.600998"/>
    <n v="-0.26295109362451985"/>
  </r>
  <r>
    <x v="2"/>
    <x v="11"/>
    <s v="Fuel Tax Exemption for Naphta, Petroleum Coke and Petroleum Bitumen"/>
    <x v="3"/>
    <x v="1"/>
    <n v="6697557000"/>
    <n v="10307540223"/>
    <n v="-0.47703001290873603"/>
  </r>
  <r>
    <x v="3"/>
    <x v="11"/>
    <s v="Fuel Tax Exemption for Naphta, Petroleum Coke and Petroleum Bitumen"/>
    <x v="3"/>
    <x v="1"/>
    <n v="8378605000"/>
    <n v="8378605000"/>
    <n v="-0.18713826783773493"/>
  </r>
  <r>
    <x v="0"/>
    <x v="12"/>
    <s v="Fuel Tax Exemption for Ships in Cabotage Lines"/>
    <x v="3"/>
    <x v="1"/>
    <n v="633403000"/>
    <n v="2008793030.5296357"/>
    <s v="N/A"/>
  </r>
  <r>
    <x v="1"/>
    <x v="12"/>
    <s v="Fuel Tax Exemption for Ships in Cabotage Lines"/>
    <x v="3"/>
    <x v="1"/>
    <n v="167977000"/>
    <n v="445424106.96899992"/>
    <n v="-0.77826281742347547"/>
  </r>
  <r>
    <x v="2"/>
    <x v="12"/>
    <s v="Fuel Tax Exemption for Ships in Cabotage Lines"/>
    <x v="3"/>
    <x v="1"/>
    <n v="557796000"/>
    <n v="858448044"/>
    <n v="0.92725995420751939"/>
  </r>
  <r>
    <x v="3"/>
    <x v="12"/>
    <s v="Fuel Tax Exemption for Ships in Cabotage Lines"/>
    <x v="3"/>
    <x v="1"/>
    <n v="1717747000"/>
    <n v="1717747000"/>
    <n v="1.0009912213161267"/>
  </r>
  <r>
    <x v="0"/>
    <x v="13"/>
    <s v="Fuel Tax Exemption for Vehicles Used for National Security"/>
    <x v="3"/>
    <x v="1"/>
    <n v="2111149470"/>
    <n v="6695361944.5161047"/>
    <s v="N/A"/>
  </r>
  <r>
    <x v="1"/>
    <x v="13"/>
    <s v="Fuel Tax Exemption for Vehicles Used for National Security"/>
    <x v="3"/>
    <x v="1"/>
    <n v="2111149470"/>
    <n v="5598128716.150589"/>
    <n v="-0.16387959866220739"/>
  </r>
  <r>
    <x v="2"/>
    <x v="13"/>
    <s v="Fuel Tax Exemption for Vehicles Used for National Security"/>
    <x v="3"/>
    <x v="1"/>
    <n v="2111149470"/>
    <n v="3249059034.3299999"/>
    <n v="-0.41961694718514209"/>
  </r>
  <r>
    <x v="3"/>
    <x v="13"/>
    <s v="Fuel Tax Exemption for Vehicles Used for National Security"/>
    <x v="3"/>
    <x v="1"/>
    <n v="2111149470"/>
    <n v="2111149470"/>
    <n v="-0.35022742040285898"/>
  </r>
  <r>
    <x v="0"/>
    <x v="14"/>
    <s v="Personal Income Tax exemption for underground workers"/>
    <x v="2"/>
    <x v="1"/>
    <n v="109259000"/>
    <n v="346507227.97750795"/>
    <s v="N/A"/>
  </r>
  <r>
    <x v="1"/>
    <x v="14"/>
    <s v="Personal Income Tax exemption for underground workers"/>
    <x v="2"/>
    <x v="1"/>
    <n v="121833999"/>
    <n v="323066849.64630294"/>
    <n v="-6.7647588386602273E-2"/>
  </r>
  <r>
    <x v="2"/>
    <x v="14"/>
    <s v="Personal Income Tax exemption for underground workers"/>
    <x v="2"/>
    <x v="1"/>
    <n v="121834000"/>
    <n v="187502526"/>
    <n v="-0.41961694242142211"/>
  </r>
  <r>
    <x v="3"/>
    <x v="14"/>
    <s v="Personal Income Tax exemption for underground workers"/>
    <x v="2"/>
    <x v="1"/>
    <n v="4222298940"/>
    <n v="4222298940"/>
    <n v="21.518624309093308"/>
  </r>
  <r>
    <x v="0"/>
    <x v="15"/>
    <s v="Personal Income Withholding Tax Support for Investments with Incentive Certificates"/>
    <x v="2"/>
    <x v="1"/>
    <n v="315000"/>
    <n v="999000.32777999982"/>
    <s v="N/A"/>
  </r>
  <r>
    <x v="1"/>
    <x v="15"/>
    <s v="Personal Income Withholding Tax Support for Investments with Incentive Certificates"/>
    <x v="2"/>
    <x v="1"/>
    <n v="631678"/>
    <n v="1675018.6575659998"/>
    <n v="0.67669480278175942"/>
  </r>
  <r>
    <x v="2"/>
    <x v="15"/>
    <s v="Personal Income Withholding Tax Support for Investments with Incentive Certificates"/>
    <x v="2"/>
    <x v="1"/>
    <n v="1407432980"/>
    <n v="2166039356.2199998"/>
    <n v="1292.1434204843492"/>
  </r>
  <r>
    <x v="3"/>
    <x v="15"/>
    <s v="Personal Income Withholding Tax Support for Investments with Incentive Certificates"/>
    <x v="2"/>
    <x v="1"/>
    <n v="1407432980"/>
    <n v="1407432980"/>
    <n v="-0.35022742040285892"/>
  </r>
  <r>
    <x v="0"/>
    <x v="16"/>
    <s v="Personel Income Withholding Tax Support for R&amp;D personnel"/>
    <x v="2"/>
    <x v="1"/>
    <n v="11281790"/>
    <n v="35779402.882365473"/>
    <s v="N/A"/>
  </r>
  <r>
    <x v="1"/>
    <x v="16"/>
    <s v="Personel Income Withholding Tax Support for R&amp;D personnel"/>
    <x v="2"/>
    <x v="1"/>
    <n v="17483818"/>
    <n v="46361787.739145994"/>
    <n v="0.29576750879753338"/>
  </r>
  <r>
    <x v="2"/>
    <x v="16"/>
    <s v="Personel Income Withholding Tax Support for R&amp;D personnel"/>
    <x v="2"/>
    <x v="1"/>
    <n v="35870962"/>
    <n v="55205410.517999999"/>
    <n v="0.19075241077010524"/>
  </r>
  <r>
    <x v="3"/>
    <x v="16"/>
    <s v="Personel Income Withholding Tax Support for R&amp;D personnel"/>
    <x v="2"/>
    <x v="1"/>
    <n v="66886545"/>
    <n v="66886545"/>
    <n v="0.21159401537628833"/>
  </r>
  <r>
    <x v="0"/>
    <x v="17"/>
    <s v="R&amp;D Tax credits in Law No:5746 Article 3/1"/>
    <x v="2"/>
    <x v="1"/>
    <n v="3820849"/>
    <n v="12117553.661580585"/>
    <s v="N/A"/>
  </r>
  <r>
    <x v="1"/>
    <x v="17"/>
    <s v="R&amp;D Tax credits in Law No:5746 Article 3/1"/>
    <x v="2"/>
    <x v="1"/>
    <n v="3365156"/>
    <n v="8923374.0697319992"/>
    <n v="-0.26359937666097732"/>
  </r>
  <r>
    <x v="2"/>
    <x v="17"/>
    <s v="R&amp;D Tax credits in Law No:5746 Article 3/1"/>
    <x v="2"/>
    <x v="1"/>
    <n v="5861730"/>
    <n v="9021202.4699999988"/>
    <n v="1.0963162532862164E-2"/>
  </r>
  <r>
    <x v="3"/>
    <x v="17"/>
    <s v="R&amp;D Tax credits in Law No:5746 Article 3/1"/>
    <x v="2"/>
    <x v="1"/>
    <n v="4294332"/>
    <n v="4294332"/>
    <n v="-0.52397343765636595"/>
  </r>
  <r>
    <x v="0"/>
    <x v="18"/>
    <s v="R&amp;D Tax credits in Law No:5746 Article 3/A"/>
    <x v="2"/>
    <x v="1"/>
    <n v="271493"/>
    <n v="861020.93965071579"/>
    <s v="N/A"/>
  </r>
  <r>
    <x v="1"/>
    <x v="18"/>
    <s v="R&amp;D Tax credits in Law No:5746 Article 3/A"/>
    <x v="2"/>
    <x v="1"/>
    <n v="298678"/>
    <n v="792003.55656599987"/>
    <n v="-8.0157612790129951E-2"/>
  </r>
  <r>
    <x v="2"/>
    <x v="18"/>
    <s v="R&amp;D Tax credits in Law No:5746 Article 3/A"/>
    <x v="2"/>
    <x v="1"/>
    <n v="342362"/>
    <n v="526895.11800000002"/>
    <n v="-0.33473137382800078"/>
  </r>
  <r>
    <x v="3"/>
    <x v="18"/>
    <s v="R&amp;D Tax credits in Law No:5746 Article 3/A"/>
    <x v="2"/>
    <x v="1"/>
    <n v="315848"/>
    <n v="315848"/>
    <n v="-0.40054863062898982"/>
  </r>
  <r>
    <x v="0"/>
    <x v="19"/>
    <s v="Strategic communication for increasing mining, domestic coal and  nuclear activities"/>
    <x v="2"/>
    <x v="0"/>
    <n v="537035"/>
    <n v="1703168.7016804197"/>
    <s v="N/A"/>
  </r>
  <r>
    <x v="1"/>
    <x v="19"/>
    <s v="Strategic communication for increasing mining, domestic coal and  nuclear activities"/>
    <x v="2"/>
    <x v="0"/>
    <n v="577147"/>
    <n v="1530418.9684589996"/>
    <n v="-0.10142843339651424"/>
  </r>
  <r>
    <x v="2"/>
    <x v="19"/>
    <s v="Strategic communication for increasing mining, domestic coal and  nuclear activities"/>
    <x v="2"/>
    <x v="0"/>
    <n v="605000"/>
    <n v="931095"/>
    <n v="-0.39160777591672652"/>
  </r>
  <r>
    <x v="3"/>
    <x v="19"/>
    <s v="Strategic communication for increasing mining, domestic coal and  nuclear activities"/>
    <x v="2"/>
    <x v="0"/>
    <n v="634600"/>
    <n v="634600"/>
    <n v="-0.31843689419446997"/>
  </r>
  <r>
    <x v="0"/>
    <x v="20"/>
    <s v="Support for Domestic Oil, Natural Gas and Coal Exploration"/>
    <x v="4"/>
    <x v="0"/>
    <n v="358023"/>
    <n v="1135444.7439770757"/>
    <s v="N/A"/>
  </r>
  <r>
    <x v="1"/>
    <x v="20"/>
    <s v="Support for Domestic Oil, Natural Gas and Coal Exploration"/>
    <x v="4"/>
    <x v="0"/>
    <n v="364765"/>
    <n v="967246.25620499987"/>
    <n v="-0.14813445450716858"/>
  </r>
  <r>
    <x v="2"/>
    <x v="20"/>
    <s v="Support for Domestic Oil, Natural Gas and Coal Exploration"/>
    <x v="4"/>
    <x v="0"/>
    <n v="403000"/>
    <n v="620217"/>
    <n v="-0.35878066622513749"/>
  </r>
  <r>
    <x v="3"/>
    <x v="20"/>
    <s v="Support for Domestic Oil, Natural Gas and Coal Exploration"/>
    <x v="4"/>
    <x v="0"/>
    <n v="422000"/>
    <n v="422000"/>
    <n v="-0.31959298116626922"/>
  </r>
  <r>
    <x v="0"/>
    <x v="21"/>
    <s v="Tax Exemption for LPG Consumption"/>
    <x v="2"/>
    <x v="1"/>
    <n v="703716490"/>
    <n v="2231787314.8387012"/>
    <s v="N/A"/>
  </r>
  <r>
    <x v="1"/>
    <x v="21"/>
    <s v="Tax Exemption for LPG Consumption"/>
    <x v="2"/>
    <x v="1"/>
    <n v="703716490"/>
    <n v="1866042905.3835297"/>
    <n v="-0.16387959866220728"/>
  </r>
  <r>
    <x v="2"/>
    <x v="21"/>
    <s v="Tax Exemption for LPG Consumption"/>
    <x v="2"/>
    <x v="1"/>
    <n v="703716490"/>
    <n v="1083019678.1099999"/>
    <n v="-0.41961694718514214"/>
  </r>
  <r>
    <x v="3"/>
    <x v="21"/>
    <s v="Tax Exemption for LPG Consumption"/>
    <x v="2"/>
    <x v="1"/>
    <n v="703716490"/>
    <n v="703716490"/>
    <n v="-0.35022742040285892"/>
  </r>
  <r>
    <x v="0"/>
    <x v="22"/>
    <s v="Tax Exemption for Oil and Gas Exploration and Transportation"/>
    <x v="4"/>
    <x v="1"/>
    <n v="740742000"/>
    <n v="2349211113.6521034"/>
    <s v="N/A"/>
  </r>
  <r>
    <x v="1"/>
    <x v="22"/>
    <s v="Tax Exemption for Oil and Gas Exploration and Transportation"/>
    <x v="4"/>
    <x v="1"/>
    <n v="1313650000"/>
    <n v="3483401764.0499992"/>
    <n v="0.48279639228961141"/>
  </r>
  <r>
    <x v="2"/>
    <x v="22"/>
    <s v="Tax Exemption for Oil and Gas Exploration and Transportation"/>
    <x v="4"/>
    <x v="1"/>
    <n v="10293509000"/>
    <n v="15841710351"/>
    <n v="3.5477700891388233"/>
  </r>
  <r>
    <x v="3"/>
    <x v="22"/>
    <s v="Tax Exemption for Oil and Gas Exploration and Transportation"/>
    <x v="4"/>
    <x v="1"/>
    <n v="9595353000"/>
    <n v="9595353000"/>
    <n v="-0.394298166839397"/>
  </r>
  <r>
    <x v="0"/>
    <x v="23"/>
    <s v="Tax Exemption for the Transportation and Distribution of Oil and Gas"/>
    <x v="4"/>
    <x v="1"/>
    <n v="2111149470"/>
    <n v="6695361944.5161047"/>
    <s v="N/A"/>
  </r>
  <r>
    <x v="1"/>
    <x v="23"/>
    <s v="Tax Exemption for the Transportation and Distribution of Oil and Gas"/>
    <x v="4"/>
    <x v="1"/>
    <n v="2111149470"/>
    <n v="5598128716.150589"/>
    <n v="-0.16387959866220739"/>
  </r>
  <r>
    <x v="2"/>
    <x v="23"/>
    <s v="Tax Exemption for the Transportation and Distribution of Oil and Gas"/>
    <x v="4"/>
    <x v="1"/>
    <n v="2111149470"/>
    <n v="3249059034.3299999"/>
    <n v="-0.41961694718514209"/>
  </r>
  <r>
    <x v="3"/>
    <x v="23"/>
    <s v="Tax Exemption for the Transportation and Distribution of Oil and Gas"/>
    <x v="4"/>
    <x v="1"/>
    <n v="2111149470"/>
    <n v="2111149470"/>
    <n v="-0.35022742040285898"/>
  </r>
  <r>
    <x v="0"/>
    <x v="24"/>
    <s v="Value Added Tax Exemption for Imported and/or Locally Provided Investment Machinery within the Scope of Incentive Certificates"/>
    <x v="2"/>
    <x v="1"/>
    <n v="22588018"/>
    <n v="71636309.161588997"/>
    <s v="N/A"/>
  </r>
  <r>
    <x v="1"/>
    <x v="24"/>
    <s v="Value Added Tax Exemption for Imported and/or Locally Provided Investment Machinery within the Scope of Incentive Certificates"/>
    <x v="2"/>
    <x v="1"/>
    <n v="40726371"/>
    <n v="107993995.80158699"/>
    <n v="0.50753154462475836"/>
  </r>
  <r>
    <x v="2"/>
    <x v="24"/>
    <s v="Value Added Tax Exemption for Imported and/or Locally Provided Investment Machinery within the Scope of Incentive Certificates"/>
    <x v="2"/>
    <x v="1"/>
    <n v="25419007"/>
    <n v="39119851.772999994"/>
    <n v="-0.63775901166882154"/>
  </r>
  <r>
    <x v="3"/>
    <x v="24"/>
    <s v="Value Added Tax Exemption for Imported and/or Locally Provided Investment Machinery within the Scope of Incentive Certificates"/>
    <x v="2"/>
    <x v="1"/>
    <n v="710565843"/>
    <n v="710565843"/>
    <n v="17.163817366261679"/>
  </r>
  <r>
    <x v="0"/>
    <x v="25"/>
    <s v="Value Added Tax refund for building and construction expenses for the investments to be realized within the scope of investment incentive certificate"/>
    <x v="2"/>
    <x v="1"/>
    <n v="290333"/>
    <n v="920770.6735407958"/>
    <s v="N/A"/>
  </r>
  <r>
    <x v="1"/>
    <x v="25"/>
    <s v="Value Added Tax refund for building and construction expenses for the investments to be realized within the scope of investment incentive certificate"/>
    <x v="2"/>
    <x v="1"/>
    <n v="486487"/>
    <n v="1290016.1184389999"/>
    <n v="0.40101781638883205"/>
  </r>
  <r>
    <x v="2"/>
    <x v="25"/>
    <s v="Value Added Tax refund for building and construction expenses for the investments to be realized within the scope of investment incentive certificate"/>
    <x v="2"/>
    <x v="1"/>
    <n v="2628805"/>
    <n v="4045730.895"/>
    <n v="2.1361863136218697"/>
  </r>
  <r>
    <x v="3"/>
    <x v="25"/>
    <s v="Value Added Tax refund for building and construction expenses for the investments to be realized within the scope of investment incentive certificate"/>
    <x v="2"/>
    <x v="1"/>
    <n v="705862959"/>
    <n v="705862959"/>
    <n v="173.47106031504848"/>
  </r>
  <r>
    <x v="4"/>
    <x v="26"/>
    <m/>
    <x v="5"/>
    <x v="2"/>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x v="0"/>
    <x v="0"/>
    <x v="0"/>
    <x v="0"/>
    <x v="0"/>
    <n v="1500000000"/>
    <n v="4757144417.999999"/>
    <s v="N/A"/>
  </r>
  <r>
    <x v="1"/>
    <x v="0"/>
    <x v="0"/>
    <x v="0"/>
    <x v="0"/>
    <n v="1500000000"/>
    <n v="3977545499.9999995"/>
    <n v="-0.1638795986622073"/>
  </r>
  <r>
    <x v="2"/>
    <x v="0"/>
    <x v="0"/>
    <x v="0"/>
    <x v="0"/>
    <n v="1500000000"/>
    <n v="2308500000"/>
    <n v="-0.41961694718514214"/>
  </r>
  <r>
    <x v="3"/>
    <x v="0"/>
    <x v="0"/>
    <x v="0"/>
    <x v="0"/>
    <n v="1407432980"/>
    <n v="1407432980"/>
    <n v="-0.39032576131687241"/>
  </r>
  <r>
    <x v="0"/>
    <x v="1"/>
    <x v="1"/>
    <x v="1"/>
    <x v="0"/>
    <n v="2044703655"/>
    <n v="6484633719.2316303"/>
    <s v="N/A"/>
  </r>
  <r>
    <x v="1"/>
    <x v="1"/>
    <x v="1"/>
    <x v="1"/>
    <x v="0"/>
    <n v="2693062496"/>
    <n v="7141185741.4557104"/>
    <n v="0.10124735654335083"/>
  </r>
  <r>
    <x v="2"/>
    <x v="1"/>
    <x v="1"/>
    <x v="1"/>
    <x v="0"/>
    <n v="2729279431"/>
    <n v="4200361044.309"/>
    <n v="-0.41181181999996985"/>
  </r>
  <r>
    <x v="3"/>
    <x v="1"/>
    <x v="1"/>
    <x v="1"/>
    <x v="0"/>
    <n v="3666073536"/>
    <n v="3666073536"/>
    <n v="-0.12720037698494926"/>
  </r>
  <r>
    <x v="0"/>
    <x v="2"/>
    <x v="2"/>
    <x v="0"/>
    <x v="0"/>
    <n v="1215000000"/>
    <n v="3853286978.5799994"/>
    <s v="N/A"/>
  </r>
  <r>
    <x v="1"/>
    <x v="2"/>
    <x v="2"/>
    <x v="0"/>
    <x v="0"/>
    <n v="1468400000"/>
    <n v="3893751874.7999992"/>
    <n v="1.0501396974826873E-2"/>
  </r>
  <r>
    <x v="2"/>
    <x v="2"/>
    <x v="2"/>
    <x v="0"/>
    <x v="0"/>
    <n v="1771500000"/>
    <n v="2726338500"/>
    <n v="-0.29981709475516155"/>
  </r>
  <r>
    <x v="3"/>
    <x v="2"/>
    <x v="2"/>
    <x v="0"/>
    <x v="0"/>
    <n v="703716490"/>
    <n v="703716490"/>
    <n v="-0.74188220208165645"/>
  </r>
  <r>
    <x v="0"/>
    <x v="3"/>
    <x v="3"/>
    <x v="0"/>
    <x v="0"/>
    <n v="2814865960"/>
    <n v="8927149259.354805"/>
    <s v="N/A"/>
  </r>
  <r>
    <x v="1"/>
    <x v="3"/>
    <x v="3"/>
    <x v="0"/>
    <x v="0"/>
    <n v="2814865960"/>
    <n v="7464171621.5341187"/>
    <n v="-0.16387959866220728"/>
  </r>
  <r>
    <x v="2"/>
    <x v="3"/>
    <x v="3"/>
    <x v="0"/>
    <x v="0"/>
    <n v="2814865960"/>
    <n v="4332078712.4399996"/>
    <n v="-0.41961694718514214"/>
  </r>
  <r>
    <x v="3"/>
    <x v="3"/>
    <x v="3"/>
    <x v="0"/>
    <x v="0"/>
    <n v="2814865960"/>
    <n v="2814865960"/>
    <n v="-0.35022742040285892"/>
  </r>
  <r>
    <x v="0"/>
    <x v="4"/>
    <x v="4"/>
    <x v="2"/>
    <x v="1"/>
    <n v="80724000"/>
    <n v="256010483.99908796"/>
    <s v="N/A"/>
  </r>
  <r>
    <x v="1"/>
    <x v="4"/>
    <x v="4"/>
    <x v="2"/>
    <x v="1"/>
    <n v="206270897"/>
    <n v="546967918.76220894"/>
    <n v="1.1365059360778269"/>
  </r>
  <r>
    <x v="2"/>
    <x v="4"/>
    <x v="4"/>
    <x v="2"/>
    <x v="1"/>
    <n v="107228899"/>
    <n v="165025275.56099999"/>
    <n v="-0.69829075910987071"/>
  </r>
  <r>
    <x v="3"/>
    <x v="4"/>
    <x v="4"/>
    <x v="2"/>
    <x v="1"/>
    <n v="733042895"/>
    <n v="733042895"/>
    <n v="3.4420037628056424"/>
  </r>
  <r>
    <x v="0"/>
    <x v="5"/>
    <x v="5"/>
    <x v="3"/>
    <x v="1"/>
    <n v="171639000"/>
    <n v="544341007.17406785"/>
    <s v="N/A"/>
  </r>
  <r>
    <x v="1"/>
    <x v="5"/>
    <x v="5"/>
    <x v="3"/>
    <x v="1"/>
    <n v="53033000"/>
    <n v="140627447.00099999"/>
    <n v="-0.74165560715136325"/>
  </r>
  <r>
    <x v="2"/>
    <x v="5"/>
    <x v="5"/>
    <x v="3"/>
    <x v="1"/>
    <n v="149270000"/>
    <n v="229726530"/>
    <n v="0.63358245420160719"/>
  </r>
  <r>
    <x v="3"/>
    <x v="5"/>
    <x v="5"/>
    <x v="3"/>
    <x v="1"/>
    <n v="253387000"/>
    <n v="253387000"/>
    <n v="0.10299406864326902"/>
  </r>
  <r>
    <x v="0"/>
    <x v="6"/>
    <x v="6"/>
    <x v="3"/>
    <x v="1"/>
    <n v="720925000"/>
    <n v="2286362893.0310998"/>
    <s v="N/A"/>
  </r>
  <r>
    <x v="1"/>
    <x v="6"/>
    <x v="6"/>
    <x v="3"/>
    <x v="1"/>
    <n v="353431000"/>
    <n v="937191922.40699983"/>
    <n v="-0.59009485096893943"/>
  </r>
  <r>
    <x v="2"/>
    <x v="6"/>
    <x v="6"/>
    <x v="3"/>
    <x v="1"/>
    <n v="512797000"/>
    <n v="789194583"/>
    <n v="-0.15791572234948067"/>
  </r>
  <r>
    <x v="3"/>
    <x v="6"/>
    <x v="6"/>
    <x v="3"/>
    <x v="1"/>
    <n v="870475000"/>
    <n v="870475000"/>
    <n v="0.10299160530350472"/>
  </r>
  <r>
    <x v="0"/>
    <x v="7"/>
    <x v="7"/>
    <x v="3"/>
    <x v="1"/>
    <n v="2242754000"/>
    <n v="7112736448.0314465"/>
    <s v="N/A"/>
  </r>
  <r>
    <x v="1"/>
    <x v="7"/>
    <x v="7"/>
    <x v="3"/>
    <x v="1"/>
    <n v="3785303000"/>
    <n v="10037476609.190998"/>
    <n v="0.41119760060405669"/>
  </r>
  <r>
    <x v="2"/>
    <x v="7"/>
    <x v="7"/>
    <x v="3"/>
    <x v="1"/>
    <n v="4736847000"/>
    <n v="7290007533"/>
    <n v="-0.27372109377323262"/>
  </r>
  <r>
    <x v="3"/>
    <x v="7"/>
    <x v="7"/>
    <x v="3"/>
    <x v="1"/>
    <n v="5550230000"/>
    <n v="5550230000"/>
    <n v="-0.23865236422931965"/>
  </r>
  <r>
    <x v="0"/>
    <x v="8"/>
    <x v="8"/>
    <x v="4"/>
    <x v="1"/>
    <n v="1407432980"/>
    <n v="4463574629.6774025"/>
    <s v="N/A"/>
  </r>
  <r>
    <x v="1"/>
    <x v="8"/>
    <x v="8"/>
    <x v="4"/>
    <x v="1"/>
    <n v="1407432980"/>
    <n v="3732085810.7670593"/>
    <n v="-0.16387959866220728"/>
  </r>
  <r>
    <x v="2"/>
    <x v="8"/>
    <x v="8"/>
    <x v="4"/>
    <x v="1"/>
    <n v="1407432980"/>
    <n v="2166039356.2199998"/>
    <n v="-0.41961694718514214"/>
  </r>
  <r>
    <x v="3"/>
    <x v="8"/>
    <x v="8"/>
    <x v="4"/>
    <x v="1"/>
    <n v="1407432980"/>
    <n v="1407432980"/>
    <n v="-0.35022742040285892"/>
  </r>
  <r>
    <x v="0"/>
    <x v="9"/>
    <x v="9"/>
    <x v="3"/>
    <x v="1"/>
    <n v="64138000"/>
    <n v="203409152.45445597"/>
    <s v="N/A"/>
  </r>
  <r>
    <x v="1"/>
    <x v="9"/>
    <x v="9"/>
    <x v="3"/>
    <x v="1"/>
    <n v="6450000"/>
    <n v="17103445.649999999"/>
    <n v="-0.91591604682670547"/>
  </r>
  <r>
    <x v="2"/>
    <x v="9"/>
    <x v="9"/>
    <x v="3"/>
    <x v="1"/>
    <n v="84882000"/>
    <n v="130633398"/>
    <n v="6.6378409750435292"/>
  </r>
  <r>
    <x v="3"/>
    <x v="9"/>
    <x v="9"/>
    <x v="3"/>
    <x v="1"/>
    <n v="144087000"/>
    <n v="144087000"/>
    <n v="0.10298746113914911"/>
  </r>
  <r>
    <x v="0"/>
    <x v="10"/>
    <x v="10"/>
    <x v="3"/>
    <x v="1"/>
    <n v="703716490"/>
    <n v="2231787314.8387012"/>
    <s v="N/A"/>
  </r>
  <r>
    <x v="1"/>
    <x v="10"/>
    <x v="10"/>
    <x v="3"/>
    <x v="1"/>
    <n v="703716490"/>
    <n v="1866042905.3835297"/>
    <n v="-0.16387959866220728"/>
  </r>
  <r>
    <x v="2"/>
    <x v="10"/>
    <x v="10"/>
    <x v="3"/>
    <x v="1"/>
    <n v="703716490"/>
    <n v="1083019678.1099999"/>
    <n v="-0.41961694718514214"/>
  </r>
  <r>
    <x v="3"/>
    <x v="10"/>
    <x v="10"/>
    <x v="3"/>
    <x v="1"/>
    <n v="703716490"/>
    <n v="703716490"/>
    <n v="-0.35022742040285892"/>
  </r>
  <r>
    <x v="0"/>
    <x v="11"/>
    <x v="11"/>
    <x v="3"/>
    <x v="1"/>
    <n v="8431928000"/>
    <n v="26741266145.451931"/>
    <s v="N/A"/>
  </r>
  <r>
    <x v="1"/>
    <x v="11"/>
    <x v="11"/>
    <x v="3"/>
    <x v="1"/>
    <n v="7432833000"/>
    <n v="19709620967.600998"/>
    <n v="-0.26295109362451985"/>
  </r>
  <r>
    <x v="2"/>
    <x v="11"/>
    <x v="11"/>
    <x v="3"/>
    <x v="1"/>
    <n v="6697557000"/>
    <n v="10307540223"/>
    <n v="-0.47703001290873603"/>
  </r>
  <r>
    <x v="3"/>
    <x v="11"/>
    <x v="11"/>
    <x v="3"/>
    <x v="1"/>
    <n v="8378605000"/>
    <n v="8378605000"/>
    <n v="-0.18713826783773493"/>
  </r>
  <r>
    <x v="0"/>
    <x v="12"/>
    <x v="12"/>
    <x v="3"/>
    <x v="1"/>
    <n v="633403000"/>
    <n v="2008793030.5296357"/>
    <s v="N/A"/>
  </r>
  <r>
    <x v="1"/>
    <x v="12"/>
    <x v="12"/>
    <x v="3"/>
    <x v="1"/>
    <n v="167977000"/>
    <n v="445424106.96899992"/>
    <n v="-0.77826281742347547"/>
  </r>
  <r>
    <x v="2"/>
    <x v="12"/>
    <x v="12"/>
    <x v="3"/>
    <x v="1"/>
    <n v="557796000"/>
    <n v="858448044"/>
    <n v="0.92725995420751939"/>
  </r>
  <r>
    <x v="3"/>
    <x v="12"/>
    <x v="12"/>
    <x v="3"/>
    <x v="1"/>
    <n v="1717747000"/>
    <n v="1717747000"/>
    <n v="1.0009912213161267"/>
  </r>
  <r>
    <x v="0"/>
    <x v="13"/>
    <x v="13"/>
    <x v="3"/>
    <x v="1"/>
    <n v="2111149470"/>
    <n v="6695361944.5161047"/>
    <s v="N/A"/>
  </r>
  <r>
    <x v="1"/>
    <x v="13"/>
    <x v="13"/>
    <x v="3"/>
    <x v="1"/>
    <n v="2111149470"/>
    <n v="5598128716.150589"/>
    <n v="-0.16387959866220739"/>
  </r>
  <r>
    <x v="2"/>
    <x v="13"/>
    <x v="13"/>
    <x v="3"/>
    <x v="1"/>
    <n v="2111149470"/>
    <n v="3249059034.3299999"/>
    <n v="-0.41961694718514209"/>
  </r>
  <r>
    <x v="3"/>
    <x v="13"/>
    <x v="13"/>
    <x v="3"/>
    <x v="1"/>
    <n v="2111149470"/>
    <n v="2111149470"/>
    <n v="-0.35022742040285898"/>
  </r>
  <r>
    <x v="0"/>
    <x v="14"/>
    <x v="14"/>
    <x v="2"/>
    <x v="1"/>
    <n v="109259000"/>
    <n v="346507227.97750795"/>
    <s v="N/A"/>
  </r>
  <r>
    <x v="1"/>
    <x v="14"/>
    <x v="14"/>
    <x v="2"/>
    <x v="1"/>
    <n v="121833999"/>
    <n v="323066849.64630294"/>
    <n v="-6.7647588386602273E-2"/>
  </r>
  <r>
    <x v="2"/>
    <x v="14"/>
    <x v="14"/>
    <x v="2"/>
    <x v="1"/>
    <n v="121834000"/>
    <n v="187502526"/>
    <n v="-0.41961694242142211"/>
  </r>
  <r>
    <x v="3"/>
    <x v="14"/>
    <x v="14"/>
    <x v="2"/>
    <x v="1"/>
    <n v="4222298940"/>
    <n v="4222298940"/>
    <n v="21.518624309093308"/>
  </r>
  <r>
    <x v="0"/>
    <x v="15"/>
    <x v="15"/>
    <x v="2"/>
    <x v="1"/>
    <n v="315000"/>
    <n v="999000.32777999982"/>
    <s v="N/A"/>
  </r>
  <r>
    <x v="1"/>
    <x v="15"/>
    <x v="15"/>
    <x v="2"/>
    <x v="1"/>
    <n v="631678"/>
    <n v="1675018.6575659998"/>
    <n v="0.67669480278175942"/>
  </r>
  <r>
    <x v="2"/>
    <x v="15"/>
    <x v="15"/>
    <x v="2"/>
    <x v="1"/>
    <n v="1407432980"/>
    <n v="2166039356.2199998"/>
    <n v="1292.1434204843492"/>
  </r>
  <r>
    <x v="3"/>
    <x v="15"/>
    <x v="15"/>
    <x v="2"/>
    <x v="1"/>
    <n v="1407432980"/>
    <n v="1407432980"/>
    <n v="-0.35022742040285892"/>
  </r>
  <r>
    <x v="0"/>
    <x v="16"/>
    <x v="16"/>
    <x v="2"/>
    <x v="1"/>
    <n v="11281790"/>
    <n v="35779402.882365473"/>
    <s v="N/A"/>
  </r>
  <r>
    <x v="1"/>
    <x v="16"/>
    <x v="16"/>
    <x v="2"/>
    <x v="1"/>
    <n v="17483818"/>
    <n v="46361787.739145994"/>
    <n v="0.29576750879753338"/>
  </r>
  <r>
    <x v="2"/>
    <x v="16"/>
    <x v="16"/>
    <x v="2"/>
    <x v="1"/>
    <n v="35870962"/>
    <n v="55205410.517999999"/>
    <n v="0.19075241077010524"/>
  </r>
  <r>
    <x v="3"/>
    <x v="16"/>
    <x v="16"/>
    <x v="2"/>
    <x v="1"/>
    <n v="66886545"/>
    <n v="66886545"/>
    <n v="0.21159401537628833"/>
  </r>
  <r>
    <x v="0"/>
    <x v="17"/>
    <x v="17"/>
    <x v="2"/>
    <x v="1"/>
    <n v="3820849"/>
    <n v="12117553.661580585"/>
    <s v="N/A"/>
  </r>
  <r>
    <x v="1"/>
    <x v="17"/>
    <x v="17"/>
    <x v="2"/>
    <x v="1"/>
    <n v="3365156"/>
    <n v="8923374.0697319992"/>
    <n v="-0.26359937666097732"/>
  </r>
  <r>
    <x v="2"/>
    <x v="17"/>
    <x v="17"/>
    <x v="2"/>
    <x v="1"/>
    <n v="5861730"/>
    <n v="9021202.4699999988"/>
    <n v="1.0963162532862164E-2"/>
  </r>
  <r>
    <x v="3"/>
    <x v="17"/>
    <x v="17"/>
    <x v="2"/>
    <x v="1"/>
    <n v="4294332"/>
    <n v="4294332"/>
    <n v="-0.52397343765636595"/>
  </r>
  <r>
    <x v="0"/>
    <x v="18"/>
    <x v="18"/>
    <x v="2"/>
    <x v="1"/>
    <n v="271493"/>
    <n v="861020.93965071579"/>
    <s v="N/A"/>
  </r>
  <r>
    <x v="1"/>
    <x v="18"/>
    <x v="18"/>
    <x v="2"/>
    <x v="1"/>
    <n v="298678"/>
    <n v="792003.55656599987"/>
    <n v="-8.0157612790129951E-2"/>
  </r>
  <r>
    <x v="2"/>
    <x v="18"/>
    <x v="18"/>
    <x v="2"/>
    <x v="1"/>
    <n v="342362"/>
    <n v="526895.11800000002"/>
    <n v="-0.33473137382800078"/>
  </r>
  <r>
    <x v="3"/>
    <x v="18"/>
    <x v="18"/>
    <x v="2"/>
    <x v="1"/>
    <n v="315848"/>
    <n v="315848"/>
    <n v="-0.40054863062898982"/>
  </r>
  <r>
    <x v="0"/>
    <x v="19"/>
    <x v="19"/>
    <x v="2"/>
    <x v="0"/>
    <n v="537035"/>
    <n v="1703168.7016804197"/>
    <s v="N/A"/>
  </r>
  <r>
    <x v="1"/>
    <x v="19"/>
    <x v="19"/>
    <x v="2"/>
    <x v="0"/>
    <n v="577147"/>
    <n v="1530418.9684589996"/>
    <n v="-0.10142843339651424"/>
  </r>
  <r>
    <x v="2"/>
    <x v="19"/>
    <x v="19"/>
    <x v="2"/>
    <x v="0"/>
    <n v="605000"/>
    <n v="931095"/>
    <n v="-0.39160777591672652"/>
  </r>
  <r>
    <x v="3"/>
    <x v="19"/>
    <x v="19"/>
    <x v="2"/>
    <x v="0"/>
    <n v="634600"/>
    <n v="634600"/>
    <n v="-0.31843689419446997"/>
  </r>
  <r>
    <x v="0"/>
    <x v="20"/>
    <x v="20"/>
    <x v="4"/>
    <x v="0"/>
    <n v="358023"/>
    <n v="1135444.7439770757"/>
    <s v="N/A"/>
  </r>
  <r>
    <x v="1"/>
    <x v="20"/>
    <x v="20"/>
    <x v="4"/>
    <x v="0"/>
    <n v="364765"/>
    <n v="967246.25620499987"/>
    <n v="-0.14813445450716858"/>
  </r>
  <r>
    <x v="2"/>
    <x v="20"/>
    <x v="20"/>
    <x v="4"/>
    <x v="0"/>
    <n v="403000"/>
    <n v="620217"/>
    <n v="-0.35878066622513749"/>
  </r>
  <r>
    <x v="3"/>
    <x v="20"/>
    <x v="20"/>
    <x v="4"/>
    <x v="0"/>
    <n v="422000"/>
    <n v="422000"/>
    <n v="-0.31959298116626922"/>
  </r>
  <r>
    <x v="0"/>
    <x v="21"/>
    <x v="21"/>
    <x v="2"/>
    <x v="1"/>
    <n v="703716490"/>
    <n v="2231787314.8387012"/>
    <s v="N/A"/>
  </r>
  <r>
    <x v="1"/>
    <x v="21"/>
    <x v="21"/>
    <x v="2"/>
    <x v="1"/>
    <n v="703716490"/>
    <n v="1866042905.3835297"/>
    <n v="-0.16387959866220728"/>
  </r>
  <r>
    <x v="2"/>
    <x v="21"/>
    <x v="21"/>
    <x v="2"/>
    <x v="1"/>
    <n v="703716490"/>
    <n v="1083019678.1099999"/>
    <n v="-0.41961694718514214"/>
  </r>
  <r>
    <x v="3"/>
    <x v="21"/>
    <x v="21"/>
    <x v="2"/>
    <x v="1"/>
    <n v="703716490"/>
    <n v="703716490"/>
    <n v="-0.35022742040285892"/>
  </r>
  <r>
    <x v="0"/>
    <x v="22"/>
    <x v="22"/>
    <x v="4"/>
    <x v="1"/>
    <n v="740742000"/>
    <n v="2349211113.6521034"/>
    <s v="N/A"/>
  </r>
  <r>
    <x v="1"/>
    <x v="22"/>
    <x v="22"/>
    <x v="4"/>
    <x v="1"/>
    <n v="1313650000"/>
    <n v="3483401764.0499992"/>
    <n v="0.48279639228961141"/>
  </r>
  <r>
    <x v="2"/>
    <x v="22"/>
    <x v="22"/>
    <x v="4"/>
    <x v="1"/>
    <n v="10293509000"/>
    <n v="15841710351"/>
    <n v="3.5477700891388233"/>
  </r>
  <r>
    <x v="3"/>
    <x v="22"/>
    <x v="22"/>
    <x v="4"/>
    <x v="1"/>
    <n v="9595353000"/>
    <n v="9595353000"/>
    <n v="-0.394298166839397"/>
  </r>
  <r>
    <x v="0"/>
    <x v="23"/>
    <x v="23"/>
    <x v="4"/>
    <x v="1"/>
    <n v="2111149470"/>
    <n v="6695361944.5161047"/>
    <s v="N/A"/>
  </r>
  <r>
    <x v="1"/>
    <x v="23"/>
    <x v="23"/>
    <x v="4"/>
    <x v="1"/>
    <n v="2111149470"/>
    <n v="5598128716.150589"/>
    <n v="-0.16387959866220739"/>
  </r>
  <r>
    <x v="2"/>
    <x v="23"/>
    <x v="23"/>
    <x v="4"/>
    <x v="1"/>
    <n v="2111149470"/>
    <n v="3249059034.3299999"/>
    <n v="-0.41961694718514209"/>
  </r>
  <r>
    <x v="3"/>
    <x v="23"/>
    <x v="23"/>
    <x v="4"/>
    <x v="1"/>
    <n v="2111149470"/>
    <n v="2111149470"/>
    <n v="-0.35022742040285898"/>
  </r>
  <r>
    <x v="0"/>
    <x v="24"/>
    <x v="24"/>
    <x v="2"/>
    <x v="1"/>
    <n v="22588018"/>
    <n v="71636309.161588997"/>
    <s v="N/A"/>
  </r>
  <r>
    <x v="1"/>
    <x v="24"/>
    <x v="24"/>
    <x v="2"/>
    <x v="1"/>
    <n v="40726371"/>
    <n v="107993995.80158699"/>
    <n v="0.50753154462475836"/>
  </r>
  <r>
    <x v="2"/>
    <x v="24"/>
    <x v="24"/>
    <x v="2"/>
    <x v="1"/>
    <n v="25419007"/>
    <n v="39119851.772999994"/>
    <n v="-0.63775901166882154"/>
  </r>
  <r>
    <x v="3"/>
    <x v="24"/>
    <x v="24"/>
    <x v="2"/>
    <x v="1"/>
    <n v="710565843"/>
    <n v="710565843"/>
    <n v="17.163817366261679"/>
  </r>
  <r>
    <x v="0"/>
    <x v="25"/>
    <x v="25"/>
    <x v="2"/>
    <x v="1"/>
    <n v="290333"/>
    <n v="920770.6735407958"/>
    <s v="N/A"/>
  </r>
  <r>
    <x v="1"/>
    <x v="25"/>
    <x v="25"/>
    <x v="2"/>
    <x v="1"/>
    <n v="486487"/>
    <n v="1290016.1184389999"/>
    <n v="0.40101781638883205"/>
  </r>
  <r>
    <x v="2"/>
    <x v="25"/>
    <x v="25"/>
    <x v="2"/>
    <x v="1"/>
    <n v="2628805"/>
    <n v="4045730.895"/>
    <n v="2.1361863136218697"/>
  </r>
  <r>
    <x v="3"/>
    <x v="25"/>
    <x v="25"/>
    <x v="2"/>
    <x v="1"/>
    <n v="705862959"/>
    <n v="705862959"/>
    <n v="173.4710603150484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x v="0"/>
    <x v="0"/>
    <x v="0"/>
    <x v="0"/>
    <x v="0"/>
    <n v="1500000000"/>
    <n v="4757144417.999999"/>
    <s v="N/A"/>
  </r>
  <r>
    <x v="1"/>
    <x v="0"/>
    <x v="0"/>
    <x v="0"/>
    <x v="0"/>
    <n v="1500000000"/>
    <n v="3977545499.9999995"/>
    <n v="-0.1638795986622073"/>
  </r>
  <r>
    <x v="2"/>
    <x v="0"/>
    <x v="0"/>
    <x v="0"/>
    <x v="0"/>
    <n v="1500000000"/>
    <n v="2308500000"/>
    <n v="-0.41961694718514214"/>
  </r>
  <r>
    <x v="3"/>
    <x v="0"/>
    <x v="0"/>
    <x v="0"/>
    <x v="0"/>
    <n v="1407432980"/>
    <n v="1407432980"/>
    <n v="-0.39032576131687241"/>
  </r>
  <r>
    <x v="0"/>
    <x v="1"/>
    <x v="1"/>
    <x v="1"/>
    <x v="0"/>
    <n v="2044703655"/>
    <n v="6484633719.2316303"/>
    <s v="N/A"/>
  </r>
  <r>
    <x v="1"/>
    <x v="1"/>
    <x v="1"/>
    <x v="1"/>
    <x v="0"/>
    <n v="2693062496"/>
    <n v="7141185741.4557104"/>
    <n v="0.10124735654335083"/>
  </r>
  <r>
    <x v="2"/>
    <x v="1"/>
    <x v="1"/>
    <x v="1"/>
    <x v="0"/>
    <n v="2729279431"/>
    <n v="4200361044.309"/>
    <n v="-0.41181181999996985"/>
  </r>
  <r>
    <x v="3"/>
    <x v="1"/>
    <x v="1"/>
    <x v="1"/>
    <x v="0"/>
    <n v="3666073536"/>
    <n v="3666073536"/>
    <n v="-0.12720037698494926"/>
  </r>
  <r>
    <x v="0"/>
    <x v="2"/>
    <x v="2"/>
    <x v="0"/>
    <x v="0"/>
    <n v="1215000000"/>
    <n v="3853286978.5799994"/>
    <s v="N/A"/>
  </r>
  <r>
    <x v="1"/>
    <x v="2"/>
    <x v="2"/>
    <x v="0"/>
    <x v="0"/>
    <n v="1468400000"/>
    <n v="3893751874.7999992"/>
    <n v="1.0501396974826873E-2"/>
  </r>
  <r>
    <x v="2"/>
    <x v="2"/>
    <x v="2"/>
    <x v="0"/>
    <x v="0"/>
    <n v="1771500000"/>
    <n v="2726338500"/>
    <n v="-0.29981709475516155"/>
  </r>
  <r>
    <x v="3"/>
    <x v="2"/>
    <x v="2"/>
    <x v="0"/>
    <x v="0"/>
    <n v="703716490"/>
    <n v="703716490"/>
    <n v="-0.74188220208165645"/>
  </r>
  <r>
    <x v="0"/>
    <x v="3"/>
    <x v="3"/>
    <x v="0"/>
    <x v="0"/>
    <n v="2814865960"/>
    <n v="8927149259.354805"/>
    <s v="N/A"/>
  </r>
  <r>
    <x v="1"/>
    <x v="3"/>
    <x v="3"/>
    <x v="0"/>
    <x v="0"/>
    <n v="2814865960"/>
    <n v="7464171621.5341187"/>
    <n v="-0.16387959866220728"/>
  </r>
  <r>
    <x v="2"/>
    <x v="3"/>
    <x v="3"/>
    <x v="0"/>
    <x v="0"/>
    <n v="2814865960"/>
    <n v="4332078712.4399996"/>
    <n v="-0.41961694718514214"/>
  </r>
  <r>
    <x v="3"/>
    <x v="3"/>
    <x v="3"/>
    <x v="0"/>
    <x v="0"/>
    <n v="2814865960"/>
    <n v="2814865960"/>
    <n v="-0.35022742040285892"/>
  </r>
  <r>
    <x v="0"/>
    <x v="4"/>
    <x v="4"/>
    <x v="2"/>
    <x v="1"/>
    <n v="80724000"/>
    <n v="256010483.99908796"/>
    <s v="N/A"/>
  </r>
  <r>
    <x v="1"/>
    <x v="4"/>
    <x v="4"/>
    <x v="2"/>
    <x v="1"/>
    <n v="206270897"/>
    <n v="546967918.76220894"/>
    <n v="1.1365059360778269"/>
  </r>
  <r>
    <x v="2"/>
    <x v="4"/>
    <x v="4"/>
    <x v="2"/>
    <x v="1"/>
    <n v="107228899"/>
    <n v="165025275.56099999"/>
    <n v="-0.69829075910987071"/>
  </r>
  <r>
    <x v="3"/>
    <x v="4"/>
    <x v="4"/>
    <x v="2"/>
    <x v="1"/>
    <n v="733042895"/>
    <n v="733042895"/>
    <n v="3.4420037628056424"/>
  </r>
  <r>
    <x v="0"/>
    <x v="5"/>
    <x v="5"/>
    <x v="3"/>
    <x v="1"/>
    <n v="171639000"/>
    <n v="544341007.17406785"/>
    <s v="N/A"/>
  </r>
  <r>
    <x v="1"/>
    <x v="5"/>
    <x v="5"/>
    <x v="3"/>
    <x v="1"/>
    <n v="53033000"/>
    <n v="140627447.00099999"/>
    <n v="-0.74165560715136325"/>
  </r>
  <r>
    <x v="2"/>
    <x v="5"/>
    <x v="5"/>
    <x v="3"/>
    <x v="1"/>
    <n v="149270000"/>
    <n v="229726530"/>
    <n v="0.63358245420160719"/>
  </r>
  <r>
    <x v="3"/>
    <x v="5"/>
    <x v="5"/>
    <x v="3"/>
    <x v="1"/>
    <n v="253387000"/>
    <n v="253387000"/>
    <n v="0.10299406864326902"/>
  </r>
  <r>
    <x v="0"/>
    <x v="6"/>
    <x v="6"/>
    <x v="3"/>
    <x v="1"/>
    <n v="720925000"/>
    <n v="2286362893.0310998"/>
    <s v="N/A"/>
  </r>
  <r>
    <x v="1"/>
    <x v="6"/>
    <x v="6"/>
    <x v="3"/>
    <x v="1"/>
    <n v="353431000"/>
    <n v="937191922.40699983"/>
    <n v="-0.59009485096893943"/>
  </r>
  <r>
    <x v="2"/>
    <x v="6"/>
    <x v="6"/>
    <x v="3"/>
    <x v="1"/>
    <n v="512797000"/>
    <n v="789194583"/>
    <n v="-0.15791572234948067"/>
  </r>
  <r>
    <x v="3"/>
    <x v="6"/>
    <x v="6"/>
    <x v="3"/>
    <x v="1"/>
    <n v="870475000"/>
    <n v="870475000"/>
    <n v="0.10299160530350472"/>
  </r>
  <r>
    <x v="0"/>
    <x v="7"/>
    <x v="7"/>
    <x v="3"/>
    <x v="1"/>
    <n v="2242754000"/>
    <n v="7112736448.0314465"/>
    <s v="N/A"/>
  </r>
  <r>
    <x v="1"/>
    <x v="7"/>
    <x v="7"/>
    <x v="3"/>
    <x v="1"/>
    <n v="3785303000"/>
    <n v="10037476609.190998"/>
    <n v="0.41119760060405669"/>
  </r>
  <r>
    <x v="2"/>
    <x v="7"/>
    <x v="7"/>
    <x v="3"/>
    <x v="1"/>
    <n v="4736847000"/>
    <n v="7290007533"/>
    <n v="-0.27372109377323262"/>
  </r>
  <r>
    <x v="3"/>
    <x v="7"/>
    <x v="7"/>
    <x v="3"/>
    <x v="1"/>
    <n v="5550230000"/>
    <n v="5550230000"/>
    <n v="-0.23865236422931965"/>
  </r>
  <r>
    <x v="0"/>
    <x v="8"/>
    <x v="8"/>
    <x v="4"/>
    <x v="1"/>
    <n v="1407432980"/>
    <n v="4463574629.6774025"/>
    <s v="N/A"/>
  </r>
  <r>
    <x v="1"/>
    <x v="8"/>
    <x v="8"/>
    <x v="4"/>
    <x v="1"/>
    <n v="1407432980"/>
    <n v="3732085810.7670593"/>
    <n v="-0.16387959866220728"/>
  </r>
  <r>
    <x v="2"/>
    <x v="8"/>
    <x v="8"/>
    <x v="4"/>
    <x v="1"/>
    <n v="1407432980"/>
    <n v="2166039356.2199998"/>
    <n v="-0.41961694718514214"/>
  </r>
  <r>
    <x v="3"/>
    <x v="8"/>
    <x v="8"/>
    <x v="4"/>
    <x v="1"/>
    <n v="1407432980"/>
    <n v="1407432980"/>
    <n v="-0.35022742040285892"/>
  </r>
  <r>
    <x v="0"/>
    <x v="9"/>
    <x v="9"/>
    <x v="3"/>
    <x v="1"/>
    <n v="64138000"/>
    <n v="203409152.45445597"/>
    <s v="N/A"/>
  </r>
  <r>
    <x v="1"/>
    <x v="9"/>
    <x v="9"/>
    <x v="3"/>
    <x v="1"/>
    <n v="6450000"/>
    <n v="17103445.649999999"/>
    <n v="-0.91591604682670547"/>
  </r>
  <r>
    <x v="2"/>
    <x v="9"/>
    <x v="9"/>
    <x v="3"/>
    <x v="1"/>
    <n v="84882000"/>
    <n v="130633398"/>
    <n v="6.6378409750435292"/>
  </r>
  <r>
    <x v="3"/>
    <x v="9"/>
    <x v="9"/>
    <x v="3"/>
    <x v="1"/>
    <n v="144087000"/>
    <n v="144087000"/>
    <n v="0.10298746113914911"/>
  </r>
  <r>
    <x v="0"/>
    <x v="10"/>
    <x v="10"/>
    <x v="3"/>
    <x v="1"/>
    <n v="703716490"/>
    <n v="2231787314.8387012"/>
    <s v="N/A"/>
  </r>
  <r>
    <x v="1"/>
    <x v="10"/>
    <x v="10"/>
    <x v="3"/>
    <x v="1"/>
    <n v="703716490"/>
    <n v="1866042905.3835297"/>
    <n v="-0.16387959866220728"/>
  </r>
  <r>
    <x v="2"/>
    <x v="10"/>
    <x v="10"/>
    <x v="3"/>
    <x v="1"/>
    <n v="703716490"/>
    <n v="1083019678.1099999"/>
    <n v="-0.41961694718514214"/>
  </r>
  <r>
    <x v="3"/>
    <x v="10"/>
    <x v="10"/>
    <x v="3"/>
    <x v="1"/>
    <n v="703716490"/>
    <n v="703716490"/>
    <n v="-0.35022742040285892"/>
  </r>
  <r>
    <x v="0"/>
    <x v="11"/>
    <x v="11"/>
    <x v="3"/>
    <x v="1"/>
    <n v="8431928000"/>
    <n v="26741266145.451931"/>
    <s v="N/A"/>
  </r>
  <r>
    <x v="1"/>
    <x v="11"/>
    <x v="11"/>
    <x v="3"/>
    <x v="1"/>
    <n v="7432833000"/>
    <n v="19709620967.600998"/>
    <n v="-0.26295109362451985"/>
  </r>
  <r>
    <x v="2"/>
    <x v="11"/>
    <x v="11"/>
    <x v="3"/>
    <x v="1"/>
    <n v="6697557000"/>
    <n v="10307540223"/>
    <n v="-0.47703001290873603"/>
  </r>
  <r>
    <x v="3"/>
    <x v="11"/>
    <x v="11"/>
    <x v="3"/>
    <x v="1"/>
    <n v="8378605000"/>
    <n v="8378605000"/>
    <n v="-0.18713826783773493"/>
  </r>
  <r>
    <x v="0"/>
    <x v="12"/>
    <x v="12"/>
    <x v="3"/>
    <x v="1"/>
    <n v="633403000"/>
    <n v="2008793030.5296357"/>
    <s v="N/A"/>
  </r>
  <r>
    <x v="1"/>
    <x v="12"/>
    <x v="12"/>
    <x v="3"/>
    <x v="1"/>
    <n v="167977000"/>
    <n v="445424106.96899992"/>
    <n v="-0.77826281742347547"/>
  </r>
  <r>
    <x v="2"/>
    <x v="12"/>
    <x v="12"/>
    <x v="3"/>
    <x v="1"/>
    <n v="557796000"/>
    <n v="858448044"/>
    <n v="0.92725995420751939"/>
  </r>
  <r>
    <x v="3"/>
    <x v="12"/>
    <x v="12"/>
    <x v="3"/>
    <x v="1"/>
    <n v="1717747000"/>
    <n v="1717747000"/>
    <n v="1.0009912213161267"/>
  </r>
  <r>
    <x v="0"/>
    <x v="13"/>
    <x v="13"/>
    <x v="3"/>
    <x v="1"/>
    <n v="2111149470"/>
    <n v="6695361944.5161047"/>
    <s v="N/A"/>
  </r>
  <r>
    <x v="1"/>
    <x v="13"/>
    <x v="13"/>
    <x v="3"/>
    <x v="1"/>
    <n v="2111149470"/>
    <n v="5598128716.150589"/>
    <n v="-0.16387959866220739"/>
  </r>
  <r>
    <x v="2"/>
    <x v="13"/>
    <x v="13"/>
    <x v="3"/>
    <x v="1"/>
    <n v="2111149470"/>
    <n v="3249059034.3299999"/>
    <n v="-0.41961694718514209"/>
  </r>
  <r>
    <x v="3"/>
    <x v="13"/>
    <x v="13"/>
    <x v="3"/>
    <x v="1"/>
    <n v="2111149470"/>
    <n v="2111149470"/>
    <n v="-0.35022742040285898"/>
  </r>
  <r>
    <x v="0"/>
    <x v="14"/>
    <x v="14"/>
    <x v="2"/>
    <x v="1"/>
    <n v="109259000"/>
    <n v="346507227.97750795"/>
    <s v="N/A"/>
  </r>
  <r>
    <x v="1"/>
    <x v="14"/>
    <x v="14"/>
    <x v="2"/>
    <x v="1"/>
    <n v="121833999"/>
    <n v="323066849.64630294"/>
    <n v="-6.7647588386602273E-2"/>
  </r>
  <r>
    <x v="2"/>
    <x v="14"/>
    <x v="14"/>
    <x v="2"/>
    <x v="1"/>
    <n v="121834000"/>
    <n v="187502526"/>
    <n v="-0.41961694242142211"/>
  </r>
  <r>
    <x v="3"/>
    <x v="14"/>
    <x v="14"/>
    <x v="2"/>
    <x v="1"/>
    <n v="4222298940"/>
    <n v="4222298940"/>
    <n v="21.518624309093308"/>
  </r>
  <r>
    <x v="0"/>
    <x v="15"/>
    <x v="15"/>
    <x v="2"/>
    <x v="1"/>
    <n v="315000"/>
    <n v="999000.32777999982"/>
    <s v="N/A"/>
  </r>
  <r>
    <x v="1"/>
    <x v="15"/>
    <x v="15"/>
    <x v="2"/>
    <x v="1"/>
    <n v="631678"/>
    <n v="1675018.6575659998"/>
    <n v="0.67669480278175942"/>
  </r>
  <r>
    <x v="2"/>
    <x v="15"/>
    <x v="15"/>
    <x v="2"/>
    <x v="1"/>
    <n v="1407432980"/>
    <n v="2166039356.2199998"/>
    <n v="1292.1434204843492"/>
  </r>
  <r>
    <x v="3"/>
    <x v="15"/>
    <x v="15"/>
    <x v="2"/>
    <x v="1"/>
    <n v="1407432980"/>
    <n v="1407432980"/>
    <n v="-0.35022742040285892"/>
  </r>
  <r>
    <x v="0"/>
    <x v="16"/>
    <x v="16"/>
    <x v="2"/>
    <x v="1"/>
    <n v="11281790"/>
    <n v="35779402.882365473"/>
    <s v="N/A"/>
  </r>
  <r>
    <x v="1"/>
    <x v="16"/>
    <x v="16"/>
    <x v="2"/>
    <x v="1"/>
    <n v="17483818"/>
    <n v="46361787.739145994"/>
    <n v="0.29576750879753338"/>
  </r>
  <r>
    <x v="2"/>
    <x v="16"/>
    <x v="16"/>
    <x v="2"/>
    <x v="1"/>
    <n v="35870962"/>
    <n v="55205410.517999999"/>
    <n v="0.19075241077010524"/>
  </r>
  <r>
    <x v="3"/>
    <x v="16"/>
    <x v="16"/>
    <x v="2"/>
    <x v="1"/>
    <n v="66886545"/>
    <n v="66886545"/>
    <n v="0.21159401537628833"/>
  </r>
  <r>
    <x v="0"/>
    <x v="17"/>
    <x v="17"/>
    <x v="2"/>
    <x v="1"/>
    <n v="3820849"/>
    <n v="12117553.661580585"/>
    <s v="N/A"/>
  </r>
  <r>
    <x v="1"/>
    <x v="17"/>
    <x v="17"/>
    <x v="2"/>
    <x v="1"/>
    <n v="3365156"/>
    <n v="8923374.0697319992"/>
    <n v="-0.26359937666097732"/>
  </r>
  <r>
    <x v="2"/>
    <x v="17"/>
    <x v="17"/>
    <x v="2"/>
    <x v="1"/>
    <n v="5861730"/>
    <n v="9021202.4699999988"/>
    <n v="1.0963162532862164E-2"/>
  </r>
  <r>
    <x v="3"/>
    <x v="17"/>
    <x v="17"/>
    <x v="2"/>
    <x v="1"/>
    <n v="4294332"/>
    <n v="4294332"/>
    <n v="-0.52397343765636595"/>
  </r>
  <r>
    <x v="0"/>
    <x v="18"/>
    <x v="18"/>
    <x v="2"/>
    <x v="1"/>
    <n v="271493"/>
    <n v="861020.93965071579"/>
    <s v="N/A"/>
  </r>
  <r>
    <x v="1"/>
    <x v="18"/>
    <x v="18"/>
    <x v="2"/>
    <x v="1"/>
    <n v="298678"/>
    <n v="792003.55656599987"/>
    <n v="-8.0157612790129951E-2"/>
  </r>
  <r>
    <x v="2"/>
    <x v="18"/>
    <x v="18"/>
    <x v="2"/>
    <x v="1"/>
    <n v="342362"/>
    <n v="526895.11800000002"/>
    <n v="-0.33473137382800078"/>
  </r>
  <r>
    <x v="3"/>
    <x v="18"/>
    <x v="18"/>
    <x v="2"/>
    <x v="1"/>
    <n v="315848"/>
    <n v="315848"/>
    <n v="-0.40054863062898982"/>
  </r>
  <r>
    <x v="0"/>
    <x v="19"/>
    <x v="19"/>
    <x v="2"/>
    <x v="0"/>
    <n v="537035"/>
    <n v="1703168.7016804197"/>
    <s v="N/A"/>
  </r>
  <r>
    <x v="1"/>
    <x v="19"/>
    <x v="19"/>
    <x v="2"/>
    <x v="0"/>
    <n v="577147"/>
    <n v="1530418.9684589996"/>
    <n v="-0.10142843339651424"/>
  </r>
  <r>
    <x v="2"/>
    <x v="19"/>
    <x v="19"/>
    <x v="2"/>
    <x v="0"/>
    <n v="605000"/>
    <n v="931095"/>
    <n v="-0.39160777591672652"/>
  </r>
  <r>
    <x v="3"/>
    <x v="19"/>
    <x v="19"/>
    <x v="2"/>
    <x v="0"/>
    <n v="634600"/>
    <n v="634600"/>
    <n v="-0.31843689419446997"/>
  </r>
  <r>
    <x v="0"/>
    <x v="20"/>
    <x v="20"/>
    <x v="4"/>
    <x v="0"/>
    <n v="358023"/>
    <n v="1135444.7439770757"/>
    <s v="N/A"/>
  </r>
  <r>
    <x v="1"/>
    <x v="20"/>
    <x v="20"/>
    <x v="4"/>
    <x v="0"/>
    <n v="364765"/>
    <n v="967246.25620499987"/>
    <n v="-0.14813445450716858"/>
  </r>
  <r>
    <x v="2"/>
    <x v="20"/>
    <x v="20"/>
    <x v="4"/>
    <x v="0"/>
    <n v="403000"/>
    <n v="620217"/>
    <n v="-0.35878066622513749"/>
  </r>
  <r>
    <x v="3"/>
    <x v="20"/>
    <x v="20"/>
    <x v="4"/>
    <x v="0"/>
    <n v="422000"/>
    <n v="422000"/>
    <n v="-0.31959298116626922"/>
  </r>
  <r>
    <x v="0"/>
    <x v="21"/>
    <x v="21"/>
    <x v="2"/>
    <x v="1"/>
    <n v="703716490"/>
    <n v="2231787314.8387012"/>
    <s v="N/A"/>
  </r>
  <r>
    <x v="1"/>
    <x v="21"/>
    <x v="21"/>
    <x v="2"/>
    <x v="1"/>
    <n v="703716490"/>
    <n v="1866042905.3835297"/>
    <n v="-0.16387959866220728"/>
  </r>
  <r>
    <x v="2"/>
    <x v="21"/>
    <x v="21"/>
    <x v="2"/>
    <x v="1"/>
    <n v="703716490"/>
    <n v="1083019678.1099999"/>
    <n v="-0.41961694718514214"/>
  </r>
  <r>
    <x v="3"/>
    <x v="21"/>
    <x v="21"/>
    <x v="2"/>
    <x v="1"/>
    <n v="703716490"/>
    <n v="703716490"/>
    <n v="-0.35022742040285892"/>
  </r>
  <r>
    <x v="0"/>
    <x v="22"/>
    <x v="22"/>
    <x v="4"/>
    <x v="1"/>
    <n v="740742000"/>
    <n v="2349211113.6521034"/>
    <s v="N/A"/>
  </r>
  <r>
    <x v="1"/>
    <x v="22"/>
    <x v="22"/>
    <x v="4"/>
    <x v="1"/>
    <n v="1313650000"/>
    <n v="3483401764.0499992"/>
    <n v="0.48279639228961141"/>
  </r>
  <r>
    <x v="2"/>
    <x v="22"/>
    <x v="22"/>
    <x v="4"/>
    <x v="1"/>
    <n v="10293509000"/>
    <n v="15841710351"/>
    <n v="3.5477700891388233"/>
  </r>
  <r>
    <x v="3"/>
    <x v="22"/>
    <x v="22"/>
    <x v="4"/>
    <x v="1"/>
    <n v="9595353000"/>
    <n v="9595353000"/>
    <n v="-0.394298166839397"/>
  </r>
  <r>
    <x v="0"/>
    <x v="23"/>
    <x v="23"/>
    <x v="4"/>
    <x v="1"/>
    <n v="2111149470"/>
    <n v="6695361944.5161047"/>
    <s v="N/A"/>
  </r>
  <r>
    <x v="1"/>
    <x v="23"/>
    <x v="23"/>
    <x v="4"/>
    <x v="1"/>
    <n v="2111149470"/>
    <n v="5598128716.150589"/>
    <n v="-0.16387959866220739"/>
  </r>
  <r>
    <x v="2"/>
    <x v="23"/>
    <x v="23"/>
    <x v="4"/>
    <x v="1"/>
    <n v="2111149470"/>
    <n v="3249059034.3299999"/>
    <n v="-0.41961694718514209"/>
  </r>
  <r>
    <x v="3"/>
    <x v="23"/>
    <x v="23"/>
    <x v="4"/>
    <x v="1"/>
    <n v="2111149470"/>
    <n v="2111149470"/>
    <n v="-0.35022742040285898"/>
  </r>
  <r>
    <x v="0"/>
    <x v="24"/>
    <x v="24"/>
    <x v="2"/>
    <x v="1"/>
    <n v="22588018"/>
    <n v="71636309.161588997"/>
    <s v="N/A"/>
  </r>
  <r>
    <x v="1"/>
    <x v="24"/>
    <x v="24"/>
    <x v="2"/>
    <x v="1"/>
    <n v="40726371"/>
    <n v="107993995.80158699"/>
    <n v="0.50753154462475836"/>
  </r>
  <r>
    <x v="2"/>
    <x v="24"/>
    <x v="24"/>
    <x v="2"/>
    <x v="1"/>
    <n v="25419007"/>
    <n v="39119851.772999994"/>
    <n v="-0.63775901166882154"/>
  </r>
  <r>
    <x v="3"/>
    <x v="24"/>
    <x v="24"/>
    <x v="2"/>
    <x v="1"/>
    <n v="710565843"/>
    <n v="710565843"/>
    <n v="17.163817366261679"/>
  </r>
  <r>
    <x v="0"/>
    <x v="25"/>
    <x v="25"/>
    <x v="2"/>
    <x v="1"/>
    <n v="290333"/>
    <n v="920770.6735407958"/>
    <s v="N/A"/>
  </r>
  <r>
    <x v="1"/>
    <x v="25"/>
    <x v="25"/>
    <x v="2"/>
    <x v="1"/>
    <n v="486487"/>
    <n v="1290016.1184389999"/>
    <n v="0.40101781638883205"/>
  </r>
  <r>
    <x v="2"/>
    <x v="25"/>
    <x v="25"/>
    <x v="2"/>
    <x v="1"/>
    <n v="2628805"/>
    <n v="4045730.895"/>
    <n v="2.1361863136218697"/>
  </r>
  <r>
    <x v="3"/>
    <x v="25"/>
    <x v="25"/>
    <x v="2"/>
    <x v="1"/>
    <n v="705862959"/>
    <n v="705862959"/>
    <n v="173.4710603150484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x v="0"/>
    <x v="0"/>
    <x v="0"/>
    <s v="Annual"/>
    <s v="TUR_TE_17"/>
    <s v="Value Added Tax Exemption for Imported and/or Locally Provided Investment Machinery within the Scope of Incentive Certificates"/>
    <x v="0"/>
    <x v="0"/>
    <n v="18739507"/>
    <n v="18739507"/>
    <s v="Medium Impact"/>
    <m/>
    <x v="0"/>
    <n v="4"/>
    <n v="99912404.875"/>
    <x v="0"/>
    <s v="A"/>
    <n v="18739507"/>
    <e v="#NAME?"/>
    <e v="#NAME?"/>
  </r>
  <r>
    <x v="1"/>
    <x v="0"/>
    <x v="0"/>
    <s v="Annual"/>
    <s v="TUR_TE_17"/>
    <s v="Value Added Tax Exemption for Imported and/or Locally Provided Investment Machinery within the Scope of Incentive Certificates"/>
    <x v="0"/>
    <x v="0"/>
    <n v="703716490"/>
    <n v="703716490"/>
    <s v="High Impact"/>
    <n v="3655.25615481773"/>
    <x v="0"/>
    <n v="4"/>
    <n v="99912404.875"/>
    <x v="0"/>
    <s v="A"/>
    <n v="703716490"/>
    <e v="#NAME?"/>
    <e v="#NAME?"/>
  </r>
  <r>
    <x v="2"/>
    <x v="0"/>
    <x v="0"/>
    <s v="Annual"/>
    <s v="TUR_DT_03"/>
    <s v="Support for Domestic Oil, Natural Gas and Coal Exploration"/>
    <x v="1"/>
    <x v="1"/>
    <n v="19535"/>
    <n v="19535"/>
    <s v="Low Impact"/>
    <m/>
    <x v="0"/>
    <n v="4"/>
    <n v="64491.166666666599"/>
    <x v="0"/>
    <s v="A"/>
    <n v="19535"/>
    <e v="#NAME?"/>
    <e v="#NAME?"/>
  </r>
  <r>
    <x v="3"/>
    <x v="0"/>
    <x v="0"/>
    <s v="Annual"/>
    <s v="TUR_TE_21"/>
    <s v="R&amp;D Tax credits in Law No:5746 Article 3/A"/>
    <x v="0"/>
    <x v="0"/>
    <n v="159295"/>
    <n v="159295"/>
    <s v="Low Impact"/>
    <m/>
    <x v="0"/>
    <n v="4"/>
    <n v="153547.625"/>
    <x v="1"/>
    <s v="A"/>
    <n v="159295"/>
    <e v="#NAME?"/>
    <e v="#NAME?"/>
  </r>
  <r>
    <x v="0"/>
    <x v="0"/>
    <x v="0"/>
    <s v="Annual"/>
    <s v="TUR_TE_21"/>
    <s v="R&amp;D Tax credits in Law No:5746 Article 3/A"/>
    <x v="0"/>
    <x v="0"/>
    <n v="171181"/>
    <n v="171181"/>
    <s v="Low Impact"/>
    <n v="7.4616277974826497"/>
    <x v="0"/>
    <n v="4"/>
    <n v="153547.625"/>
    <x v="1"/>
    <s v="A"/>
    <n v="171181"/>
    <e v="#NAME?"/>
    <e v="#NAME?"/>
  </r>
  <r>
    <x v="3"/>
    <x v="0"/>
    <x v="0"/>
    <s v="Annual"/>
    <s v="TUR_TE_08"/>
    <s v="Fuel Tax Exemption for Vehicles Used for National Security"/>
    <x v="2"/>
    <x v="0"/>
    <n v="703716490"/>
    <n v="703716490"/>
    <s v="High Impact"/>
    <m/>
    <x v="0"/>
    <n v="4"/>
    <n v="703716490"/>
    <x v="2"/>
    <s v="A"/>
    <n v="703716490"/>
    <e v="#NAME?"/>
    <e v="#NAME?"/>
  </r>
  <r>
    <x v="3"/>
    <x v="0"/>
    <x v="0"/>
    <s v="Annual"/>
    <s v="TUR_TE_18"/>
    <s v="Value Added Tax refund for building and construction expenses for the investments to be realized within the scope of investment incentive certificate"/>
    <x v="0"/>
    <x v="0"/>
    <n v="349985"/>
    <n v="349985"/>
    <s v="Low Impact"/>
    <m/>
    <x v="0"/>
    <n v="4"/>
    <n v="88658573"/>
    <x v="0"/>
    <s v="A"/>
    <n v="349985"/>
    <e v="#NAME?"/>
    <e v="#NAME?"/>
  </r>
  <r>
    <x v="1"/>
    <x v="0"/>
    <x v="0"/>
    <s v="Annual"/>
    <s v="TUR_TE_02"/>
    <s v="Fuel Tax Exemption for Ships in Cabotage Lines"/>
    <x v="2"/>
    <x v="0"/>
    <n v="1717747000"/>
    <n v="1717747000"/>
    <s v="High Impact"/>
    <m/>
    <x v="0"/>
    <n v="4"/>
    <n v="769230750"/>
    <x v="1"/>
    <s v="A"/>
    <n v="1717747000"/>
    <e v="#NAME?"/>
    <e v="#NAME?"/>
  </r>
  <r>
    <x v="2"/>
    <x v="0"/>
    <x v="0"/>
    <s v="Annual"/>
    <s v="TUR_TE_02"/>
    <s v="Fuel Tax Exemption for Ships in Cabotage Lines"/>
    <x v="2"/>
    <x v="0"/>
    <n v="633403000"/>
    <n v="633403000"/>
    <s v="High Impact"/>
    <n v="-63.125943459659602"/>
    <x v="0"/>
    <n v="4"/>
    <n v="769230750"/>
    <x v="1"/>
    <s v="A"/>
    <n v="633403000"/>
    <e v="#NAME?"/>
    <e v="#NAME?"/>
  </r>
  <r>
    <x v="0"/>
    <x v="0"/>
    <x v="0"/>
    <s v="Annual"/>
    <s v="TUR_DT_03"/>
    <s v="Support for Domestic Oil, Natural Gas and Coal Exploration"/>
    <x v="1"/>
    <x v="1"/>
    <n v="9442"/>
    <n v="9442"/>
    <s v="Low Impact"/>
    <n v="-51.666240081904199"/>
    <x v="0"/>
    <n v="4"/>
    <n v="64491.166666666599"/>
    <x v="0"/>
    <s v="A"/>
    <n v="9442"/>
    <e v="#NAME?"/>
    <e v="#NAME?"/>
  </r>
  <r>
    <x v="1"/>
    <x v="0"/>
    <x v="0"/>
    <s v="Annual"/>
    <s v="TUR_DT_03"/>
    <s v="Support for Domestic Oil, Natural Gas and Coal Exploration"/>
    <x v="1"/>
    <x v="1"/>
    <n v="9887"/>
    <n v="9887"/>
    <s v="Low Impact"/>
    <n v="4.7129845371743198"/>
    <x v="0"/>
    <n v="4"/>
    <n v="64491.166666666599"/>
    <x v="0"/>
    <s v="A"/>
    <n v="9887"/>
    <e v="#NAME?"/>
    <e v="#NAME?"/>
  </r>
  <r>
    <x v="2"/>
    <x v="0"/>
    <x v="0"/>
    <s v="Annual"/>
    <s v="TUR_DT_03"/>
    <s v="Support for Domestic Oil, Natural Gas and Coal Exploration"/>
    <x v="1"/>
    <x v="1"/>
    <n v="7423"/>
    <n v="7423"/>
    <s v="Low Impact"/>
    <n v="-24.921614240922398"/>
    <x v="0"/>
    <n v="4"/>
    <n v="64491.166666666599"/>
    <x v="0"/>
    <s v="A"/>
    <n v="7423"/>
    <e v="#NAME?"/>
    <e v="#NAME?"/>
  </r>
  <r>
    <x v="0"/>
    <x v="0"/>
    <x v="0"/>
    <s v="Annual"/>
    <s v="TUR_TE_12"/>
    <s v="Fuel Tax Exemption for Naphta, Petroleum Coke and Petroleum Bitumen"/>
    <x v="2"/>
    <x v="0"/>
    <n v="1762107952"/>
    <n v="1762107952"/>
    <s v="High Impact"/>
    <m/>
    <x v="0"/>
    <n v="4"/>
    <n v="2578410250"/>
    <x v="0"/>
    <s v="A"/>
    <n v="1762107952"/>
    <e v="#NAME?"/>
    <e v="#NAME?"/>
  </r>
  <r>
    <x v="1"/>
    <x v="0"/>
    <x v="0"/>
    <s v="Annual"/>
    <s v="TUR_TE_12"/>
    <s v="Fuel Tax Exemption for Naphta, Petroleum Coke and Petroleum Bitumen"/>
    <x v="2"/>
    <x v="0"/>
    <n v="2204386837"/>
    <n v="2204386837"/>
    <s v="High Impact"/>
    <n v="25.0994205263083"/>
    <x v="0"/>
    <n v="4"/>
    <n v="2578410250"/>
    <x v="0"/>
    <s v="A"/>
    <n v="2204386837"/>
    <e v="#NAME?"/>
    <e v="#NAME?"/>
  </r>
  <r>
    <x v="2"/>
    <x v="0"/>
    <x v="0"/>
    <s v="Annual"/>
    <s v="TUR_TE_12"/>
    <s v="Fuel Tax Exemption for Naphta, Petroleum Coke and Petroleum Bitumen"/>
    <x v="2"/>
    <x v="0"/>
    <n v="2391909741"/>
    <n v="2391909741"/>
    <s v="High Impact"/>
    <n v="8.5068056501010592"/>
    <x v="0"/>
    <n v="4"/>
    <n v="2578410250"/>
    <x v="0"/>
    <s v="A"/>
    <n v="2391909741"/>
    <e v="#NAME?"/>
    <e v="#NAME?"/>
  </r>
  <r>
    <x v="0"/>
    <x v="0"/>
    <x v="0"/>
    <s v="Annual"/>
    <s v="TUR_TE_09"/>
    <s v="Fuel Tax Exemption for Fuel Oil and Diesel Used for Electricity Generation"/>
    <x v="1"/>
    <x v="0"/>
    <n v="703716490"/>
    <n v="703716490"/>
    <s v="High Impact"/>
    <m/>
    <x v="0"/>
    <n v="4"/>
    <n v="703716490"/>
    <x v="2"/>
    <s v="A"/>
    <n v="703716490"/>
    <e v="#NAME?"/>
    <e v="#NAME?"/>
  </r>
  <r>
    <x v="1"/>
    <x v="0"/>
    <x v="0"/>
    <s v="Annual"/>
    <s v="TUR_TE_09"/>
    <s v="Fuel Tax Exemption for Fuel Oil and Diesel Used for Electricity Generation"/>
    <x v="1"/>
    <x v="0"/>
    <n v="703716490"/>
    <n v="703716490"/>
    <s v="High Impact"/>
    <m/>
    <x v="0"/>
    <n v="4"/>
    <n v="703716490"/>
    <x v="2"/>
    <s v="A"/>
    <n v="703716490"/>
    <e v="#NAME?"/>
    <e v="#NAME?"/>
  </r>
  <r>
    <x v="0"/>
    <x v="0"/>
    <x v="0"/>
    <s v="Annual"/>
    <s v="TUR_DT_03"/>
    <s v="Support for Domestic Oil, Natural Gas and Coal Exploration"/>
    <x v="1"/>
    <x v="1"/>
    <n v="8330"/>
    <n v="8330"/>
    <s v="Low Impact"/>
    <n v="12.218779469217299"/>
    <x v="0"/>
    <n v="4"/>
    <n v="64491.166666666599"/>
    <x v="0"/>
    <s v="A"/>
    <n v="8330"/>
    <e v="#NAME?"/>
    <e v="#NAME?"/>
  </r>
  <r>
    <x v="1"/>
    <x v="0"/>
    <x v="0"/>
    <s v="Annual"/>
    <s v="TUR_DT_03"/>
    <s v="Support for Domestic Oil, Natural Gas and Coal Exploration"/>
    <x v="1"/>
    <x v="1"/>
    <n v="8723"/>
    <n v="8723"/>
    <s v="Low Impact"/>
    <n v="4.7178871548619403"/>
    <x v="0"/>
    <n v="4"/>
    <n v="64491.166666666599"/>
    <x v="0"/>
    <s v="A"/>
    <n v="8723"/>
    <e v="#NAME?"/>
    <e v="#NAME?"/>
  </r>
  <r>
    <x v="2"/>
    <x v="0"/>
    <x v="0"/>
    <s v="Annual"/>
    <s v="TUR_TE_08"/>
    <s v="Fuel Tax Exemption for Vehicles Used for National Security"/>
    <x v="2"/>
    <x v="0"/>
    <n v="703716490"/>
    <n v="703716490"/>
    <s v="High Impact"/>
    <m/>
    <x v="0"/>
    <n v="4"/>
    <n v="703716490"/>
    <x v="2"/>
    <s v="A"/>
    <n v="703716490"/>
    <e v="#NAME?"/>
    <e v="#NAME?"/>
  </r>
  <r>
    <x v="0"/>
    <x v="0"/>
    <x v="0"/>
    <s v="Annual"/>
    <s v="TUR_TE_18"/>
    <s v="Value Added Tax refund for building and construction expenses for the investments to be realized within the scope of investment incentive certificate"/>
    <x v="0"/>
    <x v="0"/>
    <n v="1938019"/>
    <n v="1938019"/>
    <s v="Medium Impact"/>
    <n v="453.743446147692"/>
    <x v="0"/>
    <n v="4"/>
    <n v="88658573"/>
    <x v="0"/>
    <s v="A"/>
    <n v="1938019"/>
    <e v="#NAME?"/>
    <e v="#NAME?"/>
  </r>
  <r>
    <x v="1"/>
    <x v="0"/>
    <x v="0"/>
    <s v="Annual"/>
    <s v="TUR_TE_18"/>
    <s v="Value Added Tax refund for building and construction expenses for the investments to be realized within the scope of investment incentive certificate"/>
    <x v="0"/>
    <x v="0"/>
    <n v="703716490"/>
    <n v="703716490"/>
    <s v="High Impact"/>
    <n v="36211.124400741101"/>
    <x v="0"/>
    <n v="4"/>
    <n v="88658573"/>
    <x v="0"/>
    <s v="A"/>
    <n v="703716490"/>
    <e v="#NAME?"/>
    <e v="#NAME?"/>
  </r>
  <r>
    <x v="2"/>
    <x v="0"/>
    <x v="0"/>
    <s v="Annual"/>
    <s v="TUR_TE_18"/>
    <s v="Value Added Tax refund for building and construction expenses for the investments to be realized within the scope of investment incentive certificate"/>
    <x v="0"/>
    <x v="0"/>
    <n v="179901"/>
    <n v="179901"/>
    <s v="Low Impact"/>
    <n v="-99.974435585557998"/>
    <x v="0"/>
    <n v="4"/>
    <n v="88658573"/>
    <x v="0"/>
    <s v="A"/>
    <n v="179901"/>
    <e v="#NAME?"/>
    <e v="#NAME?"/>
  </r>
  <r>
    <x v="1"/>
    <x v="0"/>
    <x v="0"/>
    <s v="Annual"/>
    <s v="TUR_DT_07"/>
    <s v="Personal Income Tax exemption for underground workers"/>
    <x v="0"/>
    <x v="0"/>
    <n v="703716490"/>
    <n v="703716490"/>
    <s v="High Impact"/>
    <m/>
    <x v="0"/>
    <n v="4"/>
    <n v="190634414.125"/>
    <x v="0"/>
    <s v="A"/>
    <n v="703716490"/>
    <e v="#NAME?"/>
    <e v="#NAME?"/>
  </r>
  <r>
    <x v="2"/>
    <x v="0"/>
    <x v="0"/>
    <s v="Annual"/>
    <s v="TUR_DT_07"/>
    <s v="Personal Income Tax exemption for underground workers"/>
    <x v="0"/>
    <x v="0"/>
    <n v="1423529"/>
    <n v="1423529"/>
    <s v="Medium Impact"/>
    <n v="-99.797712712402102"/>
    <x v="0"/>
    <n v="4"/>
    <n v="190634414.125"/>
    <x v="0"/>
    <s v="A"/>
    <n v="1423529"/>
    <e v="#NAME?"/>
    <e v="#NAME?"/>
  </r>
  <r>
    <x v="3"/>
    <x v="0"/>
    <x v="0"/>
    <s v="Annual"/>
    <s v="TUR_DT_07"/>
    <s v="Personal Income Tax exemption for underground workers"/>
    <x v="0"/>
    <x v="0"/>
    <n v="1937403"/>
    <n v="1937403"/>
    <s v="Medium Impact"/>
    <n v="36.0985972186024"/>
    <x v="0"/>
    <n v="4"/>
    <n v="190634414.125"/>
    <x v="0"/>
    <s v="A"/>
    <n v="1937403"/>
    <e v="#NAME?"/>
    <e v="#NAME?"/>
  </r>
  <r>
    <x v="0"/>
    <x v="0"/>
    <x v="0"/>
    <s v="Annual"/>
    <s v="TUR_DT_02"/>
    <s v="Coal Aid to Poor Families (source: Treasury)"/>
    <x v="3"/>
    <x v="1"/>
    <n v="1771500000"/>
    <n v="1771500000"/>
    <s v="High Impact"/>
    <m/>
    <x v="0"/>
    <n v="4"/>
    <n v="1289654122.5"/>
    <x v="0"/>
    <s v="A"/>
    <n v="1771500000"/>
    <e v="#NAME?"/>
    <e v="#NAME?"/>
  </r>
  <r>
    <x v="1"/>
    <x v="0"/>
    <x v="0"/>
    <s v="Annual"/>
    <s v="TUR_DT_02"/>
    <s v="Coal Aid to Poor Families (source: Treasury)"/>
    <x v="3"/>
    <x v="1"/>
    <n v="703716490"/>
    <n v="703716490"/>
    <s v="High Impact"/>
    <n v="-60.275670900366897"/>
    <x v="0"/>
    <n v="4"/>
    <n v="1289654122.5"/>
    <x v="0"/>
    <s v="A"/>
    <n v="703716490"/>
    <e v="#NAME?"/>
    <e v="#NAME?"/>
  </r>
  <r>
    <x v="2"/>
    <x v="0"/>
    <x v="0"/>
    <s v="Annual"/>
    <s v="TUR_DT_02"/>
    <s v="Coal Aid to Poor Families (source: Treasury)"/>
    <x v="3"/>
    <x v="1"/>
    <n v="1215000000"/>
    <n v="1215000000"/>
    <s v="High Impact"/>
    <n v="72.654757599896499"/>
    <x v="0"/>
    <n v="4"/>
    <n v="1289654122.5"/>
    <x v="0"/>
    <s v="A"/>
    <n v="1215000000"/>
    <e v="#NAME?"/>
    <e v="#NAME?"/>
  </r>
  <r>
    <x v="0"/>
    <x v="0"/>
    <x v="0"/>
    <s v="Annual"/>
    <s v="TUR_DT_07"/>
    <s v="Personal Income Tax exemption for underground workers"/>
    <x v="0"/>
    <x v="0"/>
    <n v="2518340"/>
    <n v="2518340"/>
    <s v="Medium Impact"/>
    <n v="29.985346363146899"/>
    <x v="0"/>
    <n v="4"/>
    <n v="190634414.125"/>
    <x v="0"/>
    <s v="A"/>
    <n v="2518340"/>
    <e v="#NAME?"/>
    <e v="#NAME?"/>
  </r>
  <r>
    <x v="1"/>
    <x v="0"/>
    <x v="0"/>
    <s v="Annual"/>
    <s v="TUR_DT_07"/>
    <s v="Personal Income Tax exemption for underground workers"/>
    <x v="0"/>
    <x v="0"/>
    <n v="703716490"/>
    <n v="703716490"/>
    <s v="High Impact"/>
    <n v="27843.664874480801"/>
    <x v="0"/>
    <n v="4"/>
    <n v="190634414.125"/>
    <x v="0"/>
    <s v="A"/>
    <n v="703716490"/>
    <e v="#NAME?"/>
    <e v="#NAME?"/>
  </r>
  <r>
    <x v="2"/>
    <x v="0"/>
    <x v="0"/>
    <s v="Annual"/>
    <s v="TUR_DT_07"/>
    <s v="Personal Income Tax exemption for underground workers"/>
    <x v="0"/>
    <x v="0"/>
    <n v="5961462"/>
    <n v="5961462"/>
    <s v="Medium Impact"/>
    <n v="-99.152860266213096"/>
    <x v="0"/>
    <n v="4"/>
    <n v="190634414.125"/>
    <x v="0"/>
    <s v="A"/>
    <n v="5961462"/>
    <e v="#NAME?"/>
    <e v="#NAME?"/>
  </r>
  <r>
    <x v="0"/>
    <x v="0"/>
    <x v="0"/>
    <s v="Annual"/>
    <s v="TUR_TE_04"/>
    <s v="Tax Exemption for Oil and Gas Exploration and Transportation"/>
    <x v="1"/>
    <x v="0"/>
    <n v="809745495"/>
    <n v="809745495"/>
    <s v="High Impact"/>
    <m/>
    <x v="0"/>
    <n v="4"/>
    <n v="2742906750"/>
    <x v="0"/>
    <s v="A"/>
    <n v="809745495"/>
    <e v="#NAME?"/>
    <e v="#NAME?"/>
  </r>
  <r>
    <x v="1"/>
    <x v="0"/>
    <x v="0"/>
    <s v="Annual"/>
    <s v="TUR_TE_04"/>
    <s v="Tax Exemption for Oil and Gas Exploration and Transportation"/>
    <x v="1"/>
    <x v="0"/>
    <n v="754824605"/>
    <n v="754824605"/>
    <s v="High Impact"/>
    <n v="-6.7824878729334603"/>
    <x v="0"/>
    <n v="4"/>
    <n v="2742906750"/>
    <x v="0"/>
    <s v="A"/>
    <n v="754824605"/>
    <e v="#NAME?"/>
    <e v="#NAME?"/>
  </r>
  <r>
    <x v="2"/>
    <x v="0"/>
    <x v="0"/>
    <s v="Annual"/>
    <s v="TUR_TE_04"/>
    <s v="Tax Exemption for Oil and Gas Exploration and Transportation"/>
    <x v="1"/>
    <x v="0"/>
    <n v="73988630"/>
    <n v="73988630"/>
    <s v="Medium Impact"/>
    <n v="-90.197904319772405"/>
    <x v="0"/>
    <n v="4"/>
    <n v="2742906750"/>
    <x v="0"/>
    <s v="A"/>
    <n v="73988630"/>
    <e v="#NAME?"/>
    <e v="#NAME?"/>
  </r>
  <r>
    <x v="0"/>
    <x v="0"/>
    <x v="0"/>
    <s v="Annual"/>
    <s v="TUR_DT_05"/>
    <s v="Construction of Coal Thermal Plants"/>
    <x v="3"/>
    <x v="1"/>
    <n v="703716490"/>
    <n v="703716490"/>
    <s v="High Impact"/>
    <m/>
    <x v="0"/>
    <n v="4"/>
    <n v="703716490"/>
    <x v="2"/>
    <s v="A"/>
    <n v="703716490"/>
    <e v="#NAME?"/>
    <e v="#NAME?"/>
  </r>
  <r>
    <x v="1"/>
    <x v="0"/>
    <x v="0"/>
    <s v="Annual"/>
    <s v="TUR_DT_05"/>
    <s v="Construction of Coal Thermal Plants"/>
    <x v="3"/>
    <x v="1"/>
    <n v="703716490"/>
    <n v="703716490"/>
    <s v="High Impact"/>
    <m/>
    <x v="0"/>
    <n v="4"/>
    <n v="703716490"/>
    <x v="2"/>
    <s v="A"/>
    <n v="703716490"/>
    <e v="#NAME?"/>
    <e v="#NAME?"/>
  </r>
  <r>
    <x v="2"/>
    <x v="0"/>
    <x v="0"/>
    <s v="Annual"/>
    <s v="TUR_DT_05"/>
    <s v="Construction of Coal Thermal Plants"/>
    <x v="3"/>
    <x v="1"/>
    <n v="703716490"/>
    <n v="703716490"/>
    <s v="High Impact"/>
    <m/>
    <x v="0"/>
    <n v="4"/>
    <n v="703716490"/>
    <x v="2"/>
    <s v="A"/>
    <n v="703716490"/>
    <e v="#NAME?"/>
    <e v="#NAME?"/>
  </r>
  <r>
    <x v="0"/>
    <x v="0"/>
    <x v="0"/>
    <s v="Annual"/>
    <s v="TUR_TE_06"/>
    <s v="Tax Exemption for LPG Consumption"/>
    <x v="0"/>
    <x v="0"/>
    <n v="703716490"/>
    <n v="703716490"/>
    <s v="High Impact"/>
    <m/>
    <x v="0"/>
    <n v="4"/>
    <n v="703716490"/>
    <x v="2"/>
    <s v="A"/>
    <n v="703716490"/>
    <e v="#NAME?"/>
    <e v="#NAME?"/>
  </r>
  <r>
    <x v="1"/>
    <x v="0"/>
    <x v="0"/>
    <s v="Annual"/>
    <s v="TUR_TE_06"/>
    <s v="Tax Exemption for LPG Consumption"/>
    <x v="0"/>
    <x v="0"/>
    <n v="703716490"/>
    <n v="703716490"/>
    <s v="High Impact"/>
    <m/>
    <x v="0"/>
    <n v="4"/>
    <n v="703716490"/>
    <x v="2"/>
    <s v="A"/>
    <n v="703716490"/>
    <e v="#NAME?"/>
    <e v="#NAME?"/>
  </r>
  <r>
    <x v="2"/>
    <x v="0"/>
    <x v="0"/>
    <s v="Annual"/>
    <s v="TUR_TE_06"/>
    <s v="Tax Exemption for LPG Consumption"/>
    <x v="0"/>
    <x v="0"/>
    <n v="703716490"/>
    <n v="703716490"/>
    <s v="High Impact"/>
    <m/>
    <x v="0"/>
    <n v="4"/>
    <n v="703716490"/>
    <x v="2"/>
    <s v="A"/>
    <n v="703716490"/>
    <e v="#NAME?"/>
    <e v="#NAME?"/>
  </r>
  <r>
    <x v="1"/>
    <x v="0"/>
    <x v="0"/>
    <s v="Annual"/>
    <s v="TUR_TE_21"/>
    <s v="R&amp;D Tax credits in Law No:5746 Article 3/A"/>
    <x v="0"/>
    <x v="0"/>
    <n v="157924"/>
    <n v="157924"/>
    <s v="Low Impact"/>
    <n v="-7.7444342538015301"/>
    <x v="0"/>
    <n v="4"/>
    <n v="153547.625"/>
    <x v="1"/>
    <s v="A"/>
    <n v="157924"/>
    <e v="#NAME?"/>
    <e v="#NAME?"/>
  </r>
  <r>
    <x v="0"/>
    <x v="0"/>
    <x v="0"/>
    <s v="Annual"/>
    <s v="TUR_TE_02"/>
    <s v="Fuel Tax Exemption for Ships in Cabotage Lines"/>
    <x v="2"/>
    <x v="0"/>
    <n v="557796000"/>
    <n v="557796000"/>
    <s v="High Impact"/>
    <n v="-11.936634338643801"/>
    <x v="0"/>
    <n v="4"/>
    <n v="769230750"/>
    <x v="1"/>
    <s v="A"/>
    <n v="557796000"/>
    <e v="#NAME?"/>
    <e v="#NAME?"/>
  </r>
  <r>
    <x v="0"/>
    <x v="0"/>
    <x v="0"/>
    <s v="Annual"/>
    <s v="TUR_TE_15"/>
    <s v="Corporate Income Tax Rate Reduction"/>
    <x v="0"/>
    <x v="0"/>
    <n v="79051739"/>
    <n v="79051739"/>
    <s v="Medium Impact"/>
    <m/>
    <x v="0"/>
    <n v="4"/>
    <n v="140908336.375"/>
    <x v="0"/>
    <s v="A"/>
    <n v="79051739"/>
    <e v="#NAME?"/>
    <e v="#NAME?"/>
  </r>
  <r>
    <x v="1"/>
    <x v="0"/>
    <x v="0"/>
    <s v="Annual"/>
    <s v="TUR_TE_15"/>
    <s v="Corporate Income Tax Rate Reduction"/>
    <x v="0"/>
    <x v="0"/>
    <n v="703716490"/>
    <n v="703716490"/>
    <s v="High Impact"/>
    <n v="790.19735543072602"/>
    <x v="0"/>
    <n v="4"/>
    <n v="140908336.375"/>
    <x v="0"/>
    <s v="A"/>
    <n v="703716490"/>
    <e v="#NAME?"/>
    <e v="#NAME?"/>
  </r>
  <r>
    <x v="2"/>
    <x v="0"/>
    <x v="0"/>
    <s v="Annual"/>
    <s v="TUR_TE_15"/>
    <s v="Corporate Income Tax Rate Reduction"/>
    <x v="0"/>
    <x v="0"/>
    <n v="50020000"/>
    <n v="50020000"/>
    <s v="Medium Impact"/>
    <n v="-92.892023888767994"/>
    <x v="0"/>
    <n v="4"/>
    <n v="140908336.375"/>
    <x v="0"/>
    <s v="A"/>
    <n v="50020000"/>
    <e v="#NAME?"/>
    <e v="#NAME?"/>
  </r>
  <r>
    <x v="0"/>
    <x v="0"/>
    <x v="0"/>
    <s v="Annual"/>
    <s v="TUR_DT_03"/>
    <s v="Support for Domestic Oil, Natural Gas and Coal Exploration"/>
    <x v="1"/>
    <x v="1"/>
    <n v="299410"/>
    <n v="299410"/>
    <s v="Low Impact"/>
    <n v="3332.4200389774101"/>
    <x v="0"/>
    <n v="4"/>
    <n v="64491.166666666599"/>
    <x v="0"/>
    <s v="A"/>
    <n v="299410"/>
    <e v="#NAME?"/>
    <e v="#NAME?"/>
  </r>
  <r>
    <x v="1"/>
    <x v="0"/>
    <x v="0"/>
    <s v="Annual"/>
    <s v="TUR_DT_03"/>
    <s v="Support for Domestic Oil, Natural Gas and Coal Exploration"/>
    <x v="1"/>
    <x v="1"/>
    <n v="313526"/>
    <n v="313526"/>
    <s v="Low Impact"/>
    <n v="4.71460539060151"/>
    <x v="0"/>
    <n v="4"/>
    <n v="64491.166666666599"/>
    <x v="0"/>
    <s v="A"/>
    <n v="313526"/>
    <e v="#NAME?"/>
    <e v="#NAME?"/>
  </r>
  <r>
    <x v="2"/>
    <x v="0"/>
    <x v="0"/>
    <s v="Annual"/>
    <s v="TUR_DT_03"/>
    <s v="Support for Domestic Oil, Natural Gas and Coal Exploration"/>
    <x v="1"/>
    <x v="1"/>
    <n v="256548"/>
    <n v="256548"/>
    <s v="Low Impact"/>
    <n v="-18.173293442967999"/>
    <x v="0"/>
    <n v="4"/>
    <n v="64491.166666666599"/>
    <x v="0"/>
    <s v="A"/>
    <n v="256548"/>
    <e v="#NAME?"/>
    <e v="#NAME?"/>
  </r>
  <r>
    <x v="0"/>
    <x v="0"/>
    <x v="0"/>
    <s v="Annual"/>
    <s v="TUR_TE_18"/>
    <s v="Value Added Tax refund for building and construction expenses for the investments to be realized within the scope of investment incentive certificate"/>
    <x v="0"/>
    <x v="0"/>
    <n v="690786"/>
    <n v="690786"/>
    <s v="Low Impact"/>
    <n v="283.98118965430899"/>
    <x v="0"/>
    <n v="4"/>
    <n v="88658573"/>
    <x v="0"/>
    <s v="A"/>
    <n v="690786"/>
    <e v="#NAME?"/>
    <e v="#NAME?"/>
  </r>
  <r>
    <x v="1"/>
    <x v="0"/>
    <x v="0"/>
    <s v="Annual"/>
    <s v="TUR_TE_18"/>
    <s v="Value Added Tax refund for building and construction expenses for the investments to be realized within the scope of investment incentive certificate"/>
    <x v="0"/>
    <x v="0"/>
    <n v="2146469"/>
    <n v="2146469"/>
    <s v="Medium Impact"/>
    <n v="210.72850347285501"/>
    <x v="0"/>
    <n v="4"/>
    <n v="88658573"/>
    <x v="0"/>
    <s v="A"/>
    <n v="2146469"/>
    <e v="#NAME?"/>
    <e v="#NAME?"/>
  </r>
  <r>
    <x v="2"/>
    <x v="0"/>
    <x v="0"/>
    <s v="Annual"/>
    <s v="TUR_TE_18"/>
    <s v="Value Added Tax refund for building and construction expenses for the investments to be realized within the scope of investment incentive certificate"/>
    <x v="0"/>
    <x v="0"/>
    <n v="110432"/>
    <n v="110432"/>
    <s v="Low Impact"/>
    <n v="-94.855178434908595"/>
    <x v="0"/>
    <n v="4"/>
    <n v="88658573"/>
    <x v="0"/>
    <s v="A"/>
    <n v="110432"/>
    <e v="#NAME?"/>
    <e v="#NAME?"/>
  </r>
  <r>
    <x v="0"/>
    <x v="0"/>
    <x v="0"/>
    <s v="Annual"/>
    <s v="TUR_DT_01"/>
    <s v="Aid to the Hard Coal Industry"/>
    <x v="3"/>
    <x v="1"/>
    <n v="864041149"/>
    <n v="864041149"/>
    <s v="High Impact"/>
    <m/>
    <x v="0"/>
    <n v="4"/>
    <n v="738429122.5"/>
    <x v="1"/>
    <s v="A"/>
    <n v="864041149"/>
    <e v="#NAME?"/>
    <e v="#NAME?"/>
  </r>
  <r>
    <x v="1"/>
    <x v="0"/>
    <x v="0"/>
    <s v="Annual"/>
    <s v="TUR_DT_01"/>
    <s v="Aid to the Hard Coal Industry"/>
    <x v="3"/>
    <x v="1"/>
    <n v="703716490"/>
    <n v="703716490"/>
    <s v="High Impact"/>
    <n v="-18.555211078263099"/>
    <x v="0"/>
    <n v="4"/>
    <n v="738429122.5"/>
    <x v="1"/>
    <s v="A"/>
    <n v="703716490"/>
    <e v="#NAME?"/>
    <e v="#NAME?"/>
  </r>
  <r>
    <x v="2"/>
    <x v="0"/>
    <x v="0"/>
    <s v="Annual"/>
    <s v="TUR_DT_01"/>
    <s v="Aid to the Hard Coal Industry"/>
    <x v="3"/>
    <x v="1"/>
    <n v="921168645"/>
    <n v="921168645"/>
    <s v="High Impact"/>
    <n v="30.900534247818999"/>
    <x v="0"/>
    <n v="4"/>
    <n v="738429122.5"/>
    <x v="1"/>
    <s v="A"/>
    <n v="921168645"/>
    <e v="#NAME?"/>
    <e v="#NAME?"/>
  </r>
  <r>
    <x v="0"/>
    <x v="0"/>
    <x v="0"/>
    <s v="Annual"/>
    <s v="TUR_DT_05"/>
    <s v="Construction of Coal Thermal Plants"/>
    <x v="3"/>
    <x v="1"/>
    <n v="703716490"/>
    <n v="703716490"/>
    <s v="High Impact"/>
    <m/>
    <x v="0"/>
    <n v="4"/>
    <n v="703716490"/>
    <x v="2"/>
    <s v="A"/>
    <n v="703716490"/>
    <e v="#NAME?"/>
    <e v="#NAME?"/>
  </r>
  <r>
    <x v="1"/>
    <x v="0"/>
    <x v="0"/>
    <s v="Annual"/>
    <s v="TUR_DT_05"/>
    <s v="Construction of Coal Thermal Plants"/>
    <x v="3"/>
    <x v="1"/>
    <n v="703716490"/>
    <n v="703716490"/>
    <s v="High Impact"/>
    <m/>
    <x v="0"/>
    <n v="4"/>
    <n v="703716490"/>
    <x v="2"/>
    <s v="A"/>
    <n v="703716490"/>
    <e v="#NAME?"/>
    <e v="#NAME?"/>
  </r>
  <r>
    <x v="2"/>
    <x v="0"/>
    <x v="0"/>
    <s v="Annual"/>
    <s v="TUR_DT_05"/>
    <s v="Construction of Coal Thermal Plants"/>
    <x v="3"/>
    <x v="1"/>
    <n v="703716490"/>
    <n v="703716490"/>
    <s v="High Impact"/>
    <m/>
    <x v="0"/>
    <n v="4"/>
    <n v="703716490"/>
    <x v="2"/>
    <s v="A"/>
    <n v="703716490"/>
    <e v="#NAME?"/>
    <e v="#NAME?"/>
  </r>
  <r>
    <x v="0"/>
    <x v="0"/>
    <x v="0"/>
    <s v="Annual"/>
    <s v="TUR_DT_03"/>
    <s v="Support for Domestic Oil, Natural Gas and Coal Exploration"/>
    <x v="1"/>
    <x v="1"/>
    <n v="6950"/>
    <n v="6950"/>
    <s v="Low Impact"/>
    <n v="-97.290955298813401"/>
    <x v="0"/>
    <n v="4"/>
    <n v="64491.166666666599"/>
    <x v="0"/>
    <s v="A"/>
    <n v="6950"/>
    <e v="#NAME?"/>
    <e v="#NAME?"/>
  </r>
  <r>
    <x v="1"/>
    <x v="0"/>
    <x v="0"/>
    <s v="Annual"/>
    <s v="TUR_DT_03"/>
    <s v="Support for Domestic Oil, Natural Gas and Coal Exploration"/>
    <x v="1"/>
    <x v="1"/>
    <n v="7277"/>
    <n v="7277"/>
    <s v="Low Impact"/>
    <n v="4.7050359712230199"/>
    <x v="0"/>
    <n v="4"/>
    <n v="64491.166666666599"/>
    <x v="0"/>
    <s v="A"/>
    <n v="7277"/>
    <e v="#NAME?"/>
    <e v="#NAME?"/>
  </r>
  <r>
    <x v="2"/>
    <x v="0"/>
    <x v="0"/>
    <s v="Annual"/>
    <s v="TUR_DT_03"/>
    <s v="Support for Domestic Oil, Natural Gas and Coal Exploration"/>
    <x v="1"/>
    <x v="1"/>
    <n v="4665"/>
    <n v="4665"/>
    <s v="Low Impact"/>
    <n v="-35.893912326508101"/>
    <x v="0"/>
    <n v="4"/>
    <n v="64491.166666666599"/>
    <x v="0"/>
    <s v="A"/>
    <n v="4665"/>
    <e v="#NAME?"/>
    <e v="#NAME?"/>
  </r>
  <r>
    <x v="0"/>
    <x v="0"/>
    <x v="0"/>
    <s v="Annual"/>
    <s v="TUR_TE_19"/>
    <s v="R&amp;D Tax credits in Law No:5746 Article 3/1"/>
    <x v="0"/>
    <x v="0"/>
    <n v="2930865"/>
    <n v="2930865"/>
    <s v="Medium Impact"/>
    <m/>
    <x v="0"/>
    <n v="4"/>
    <n v="2167758.375"/>
    <x v="0"/>
    <s v="A"/>
    <n v="2930865"/>
    <e v="#NAME?"/>
    <e v="#NAME?"/>
  </r>
  <r>
    <x v="1"/>
    <x v="0"/>
    <x v="0"/>
    <s v="Annual"/>
    <s v="TUR_TE_19"/>
    <s v="R&amp;D Tax credits in Law No:5746 Article 3/1"/>
    <x v="0"/>
    <x v="0"/>
    <n v="2147166"/>
    <n v="2147166"/>
    <s v="Medium Impact"/>
    <n v="-26.739512055314702"/>
    <x v="0"/>
    <n v="4"/>
    <n v="2167758.375"/>
    <x v="0"/>
    <s v="A"/>
    <n v="2147166"/>
    <e v="#NAME?"/>
    <e v="#NAME?"/>
  </r>
  <r>
    <x v="2"/>
    <x v="0"/>
    <x v="0"/>
    <s v="Annual"/>
    <s v="TUR_TE_19"/>
    <s v="R&amp;D Tax credits in Law No:5746 Article 3/1"/>
    <x v="0"/>
    <x v="0"/>
    <n v="1364589"/>
    <n v="1364589"/>
    <s v="Medium Impact"/>
    <n v="-36.446972427842098"/>
    <x v="0"/>
    <n v="4"/>
    <n v="2167758.375"/>
    <x v="0"/>
    <s v="A"/>
    <n v="1364589"/>
    <e v="#NAME?"/>
    <e v="#NAME?"/>
  </r>
  <r>
    <x v="3"/>
    <x v="0"/>
    <x v="0"/>
    <s v="Annual"/>
    <s v="TUR_DT_07"/>
    <s v="Personal Income Tax exemption for underground workers"/>
    <x v="0"/>
    <x v="0"/>
    <n v="1884699"/>
    <n v="1884699"/>
    <s v="Medium Impact"/>
    <n v="-68.385288709380305"/>
    <x v="0"/>
    <n v="4"/>
    <n v="190634414.125"/>
    <x v="0"/>
    <s v="A"/>
    <n v="1884699"/>
    <e v="#NAME?"/>
    <e v="#NAME?"/>
  </r>
  <r>
    <x v="0"/>
    <x v="0"/>
    <x v="0"/>
    <s v="Annual"/>
    <s v="TUR_DT_07"/>
    <s v="Personal Income Tax exemption for underground workers"/>
    <x v="0"/>
    <x v="0"/>
    <n v="1875645"/>
    <n v="1875645"/>
    <s v="Medium Impact"/>
    <n v="-0.480395012678414"/>
    <x v="0"/>
    <n v="4"/>
    <n v="190634414.125"/>
    <x v="0"/>
    <s v="A"/>
    <n v="1875645"/>
    <e v="#NAME?"/>
    <e v="#NAME?"/>
  </r>
  <r>
    <x v="1"/>
    <x v="0"/>
    <x v="0"/>
    <s v="Annual"/>
    <s v="TUR_DT_07"/>
    <s v="Personal Income Tax exemption for underground workers"/>
    <x v="0"/>
    <x v="0"/>
    <n v="703716490"/>
    <n v="703716490"/>
    <s v="High Impact"/>
    <n v="37418.639721269203"/>
    <x v="0"/>
    <n v="4"/>
    <n v="190634414.125"/>
    <x v="0"/>
    <s v="A"/>
    <n v="703716490"/>
    <e v="#NAME?"/>
    <e v="#NAME?"/>
  </r>
  <r>
    <x v="0"/>
    <x v="0"/>
    <x v="0"/>
    <s v="Annual"/>
    <s v="TUR_TE_11"/>
    <s v="Fuel Tax Exemption for LPG Used in Ethylene Production"/>
    <x v="2"/>
    <x v="0"/>
    <n v="703716490"/>
    <n v="703716490"/>
    <s v="High Impact"/>
    <m/>
    <x v="0"/>
    <n v="4"/>
    <n v="703716490"/>
    <x v="2"/>
    <s v="A"/>
    <n v="703716490"/>
    <e v="#NAME?"/>
    <e v="#NAME?"/>
  </r>
  <r>
    <x v="1"/>
    <x v="0"/>
    <x v="0"/>
    <s v="Annual"/>
    <s v="TUR_TE_11"/>
    <s v="Fuel Tax Exemption for LPG Used in Ethylene Production"/>
    <x v="2"/>
    <x v="0"/>
    <n v="703716490"/>
    <n v="703716490"/>
    <s v="High Impact"/>
    <m/>
    <x v="0"/>
    <n v="4"/>
    <n v="703716490"/>
    <x v="2"/>
    <s v="A"/>
    <n v="703716490"/>
    <e v="#NAME?"/>
    <e v="#NAME?"/>
  </r>
  <r>
    <x v="2"/>
    <x v="0"/>
    <x v="0"/>
    <s v="Annual"/>
    <s v="TUR_TE_11"/>
    <s v="Fuel Tax Exemption for LPG Used in Ethylene Production"/>
    <x v="2"/>
    <x v="0"/>
    <n v="703716490"/>
    <n v="703716490"/>
    <s v="High Impact"/>
    <m/>
    <x v="0"/>
    <n v="4"/>
    <n v="703716490"/>
    <x v="2"/>
    <s v="A"/>
    <n v="703716490"/>
    <e v="#NAME?"/>
    <e v="#NAME?"/>
  </r>
  <r>
    <x v="3"/>
    <x v="0"/>
    <x v="0"/>
    <s v="Annual"/>
    <s v="TUR_DT_08"/>
    <s v="Strategic communication for increasing mining, domestic coal and  nuclear activities"/>
    <x v="0"/>
    <x v="1"/>
    <n v="577147"/>
    <n v="577147"/>
    <s v="Low Impact"/>
    <m/>
    <x v="0"/>
    <n v="4"/>
    <n v="588445.5"/>
    <x v="1"/>
    <s v="A"/>
    <n v="577147"/>
    <e v="#NAME?"/>
    <e v="#NAME?"/>
  </r>
  <r>
    <x v="0"/>
    <x v="0"/>
    <x v="0"/>
    <s v="Annual"/>
    <s v="TUR_DT_08"/>
    <s v="Strategic communication for increasing mining, domestic coal and  nuclear activities"/>
    <x v="0"/>
    <x v="1"/>
    <n v="605000"/>
    <n v="605000"/>
    <s v="Low Impact"/>
    <n v="4.8259802095479998"/>
    <x v="0"/>
    <n v="4"/>
    <n v="588445.5"/>
    <x v="1"/>
    <s v="A"/>
    <n v="605000"/>
    <e v="#NAME?"/>
    <e v="#NAME?"/>
  </r>
  <r>
    <x v="1"/>
    <x v="0"/>
    <x v="0"/>
    <s v="Annual"/>
    <s v="TUR_DT_08"/>
    <s v="Strategic communication for increasing mining, domestic coal and  nuclear activities"/>
    <x v="0"/>
    <x v="1"/>
    <n v="634600"/>
    <n v="634600"/>
    <s v="Low Impact"/>
    <n v="4.8925619834710696"/>
    <x v="0"/>
    <n v="4"/>
    <n v="588445.5"/>
    <x v="1"/>
    <s v="A"/>
    <n v="634600"/>
    <e v="#NAME?"/>
    <e v="#NAME?"/>
  </r>
  <r>
    <x v="0"/>
    <x v="0"/>
    <x v="0"/>
    <s v="Annual"/>
    <s v="TUR_TE_14"/>
    <s v="Fuel Tax Exemption for LPG Used in Aerosol Production"/>
    <x v="2"/>
    <x v="0"/>
    <n v="84882000"/>
    <n v="84882000"/>
    <s v="Medium Impact"/>
    <m/>
    <x v="0"/>
    <n v="4"/>
    <n v="74889250"/>
    <x v="1"/>
    <s v="A"/>
    <n v="84882000"/>
    <e v="#NAME?"/>
    <e v="#NAME?"/>
  </r>
  <r>
    <x v="1"/>
    <x v="0"/>
    <x v="0"/>
    <s v="Annual"/>
    <s v="TUR_TE_14"/>
    <s v="Fuel Tax Exemption for LPG Used in Aerosol Production"/>
    <x v="2"/>
    <x v="0"/>
    <n v="144087000"/>
    <n v="144087000"/>
    <s v="High Impact"/>
    <n v="69.749770269314993"/>
    <x v="0"/>
    <n v="4"/>
    <n v="74889250"/>
    <x v="1"/>
    <s v="A"/>
    <n v="144087000"/>
    <e v="#NAME?"/>
    <e v="#NAME?"/>
  </r>
  <r>
    <x v="2"/>
    <x v="0"/>
    <x v="0"/>
    <s v="Annual"/>
    <s v="TUR_TE_14"/>
    <s v="Fuel Tax Exemption for LPG Used in Aerosol Production"/>
    <x v="2"/>
    <x v="0"/>
    <n v="64138000"/>
    <n v="64138000"/>
    <s v="Medium Impact"/>
    <n v="-55.486615725221498"/>
    <x v="0"/>
    <n v="4"/>
    <n v="74889250"/>
    <x v="1"/>
    <s v="A"/>
    <n v="64138000"/>
    <e v="#NAME?"/>
    <e v="#NAME?"/>
  </r>
  <r>
    <x v="3"/>
    <x v="0"/>
    <x v="0"/>
    <s v="Annual"/>
    <s v="TUR_TE_15"/>
    <s v="Corporate Income Tax Rate Reduction"/>
    <x v="0"/>
    <x v="0"/>
    <n v="57876795"/>
    <n v="57876795"/>
    <s v="Medium Impact"/>
    <n v="15.7073070771691"/>
    <x v="0"/>
    <n v="4"/>
    <n v="140908336.375"/>
    <x v="0"/>
    <s v="A"/>
    <n v="57876795"/>
    <e v="#NAME?"/>
    <e v="#NAME?"/>
  </r>
  <r>
    <x v="0"/>
    <x v="0"/>
    <x v="0"/>
    <s v="Annual"/>
    <s v="TUR_TE_15"/>
    <s v="Corporate Income Tax Rate Reduction"/>
    <x v="0"/>
    <x v="0"/>
    <n v="28177160"/>
    <n v="28177160"/>
    <s v="Medium Impact"/>
    <n v="-51.315272381616801"/>
    <x v="0"/>
    <n v="4"/>
    <n v="140908336.375"/>
    <x v="0"/>
    <s v="A"/>
    <n v="28177160"/>
    <e v="#NAME?"/>
    <e v="#NAME?"/>
  </r>
  <r>
    <x v="1"/>
    <x v="0"/>
    <x v="0"/>
    <s v="Annual"/>
    <s v="TUR_TE_15"/>
    <s v="Corporate Income Tax Rate Reduction"/>
    <x v="0"/>
    <x v="0"/>
    <n v="29326405"/>
    <n v="29326405"/>
    <s v="Medium Impact"/>
    <n v="4.0786402888012896"/>
    <x v="0"/>
    <n v="4"/>
    <n v="140908336.375"/>
    <x v="0"/>
    <s v="A"/>
    <n v="29326405"/>
    <e v="#NAME?"/>
    <e v="#NAME?"/>
  </r>
  <r>
    <x v="0"/>
    <x v="0"/>
    <x v="0"/>
    <s v="Annual"/>
    <s v="TUR_TE_05"/>
    <s v="Tax Exemption for the Transportation and Distribution of Oil and Gas"/>
    <x v="1"/>
    <x v="0"/>
    <n v="703716490"/>
    <n v="703716490"/>
    <s v="High Impact"/>
    <m/>
    <x v="0"/>
    <n v="4"/>
    <n v="703716490"/>
    <x v="2"/>
    <s v="A"/>
    <n v="703716490"/>
    <e v="#NAME?"/>
    <e v="#NAME?"/>
  </r>
  <r>
    <x v="1"/>
    <x v="0"/>
    <x v="0"/>
    <s v="Annual"/>
    <s v="TUR_TE_05"/>
    <s v="Tax Exemption for the Transportation and Distribution of Oil and Gas"/>
    <x v="1"/>
    <x v="0"/>
    <n v="703716490"/>
    <n v="703716490"/>
    <s v="High Impact"/>
    <m/>
    <x v="0"/>
    <n v="4"/>
    <n v="703716490"/>
    <x v="2"/>
    <s v="A"/>
    <n v="703716490"/>
    <e v="#NAME?"/>
    <e v="#NAME?"/>
  </r>
  <r>
    <x v="2"/>
    <x v="0"/>
    <x v="0"/>
    <s v="Annual"/>
    <s v="TUR_TE_05"/>
    <s v="Tax Exemption for the Transportation and Distribution of Oil and Gas"/>
    <x v="1"/>
    <x v="0"/>
    <n v="703716490"/>
    <n v="703716490"/>
    <s v="High Impact"/>
    <m/>
    <x v="0"/>
    <n v="4"/>
    <n v="703716490"/>
    <x v="2"/>
    <s v="A"/>
    <n v="703716490"/>
    <e v="#NAME?"/>
    <e v="#NAME?"/>
  </r>
  <r>
    <x v="2"/>
    <x v="0"/>
    <x v="0"/>
    <s v="Annual"/>
    <s v="TUR_TE_09"/>
    <s v="Fuel Tax Exemption for Fuel Oil and Diesel Used for Electricity Generation"/>
    <x v="1"/>
    <x v="0"/>
    <n v="703716490"/>
    <n v="703716490"/>
    <s v="High Impact"/>
    <m/>
    <x v="0"/>
    <n v="4"/>
    <n v="703716490"/>
    <x v="2"/>
    <s v="A"/>
    <n v="703716490"/>
    <e v="#NAME?"/>
    <e v="#NAME?"/>
  </r>
  <r>
    <x v="0"/>
    <x v="0"/>
    <x v="0"/>
    <s v="Annual"/>
    <s v="TUR_TE_08"/>
    <s v="Fuel Tax Exemption for Vehicles Used for National Security"/>
    <x v="2"/>
    <x v="0"/>
    <n v="703716490"/>
    <n v="703716490"/>
    <s v="High Impact"/>
    <m/>
    <x v="0"/>
    <n v="4"/>
    <n v="703716490"/>
    <x v="2"/>
    <s v="A"/>
    <n v="703716490"/>
    <e v="#NAME?"/>
    <e v="#NAME?"/>
  </r>
  <r>
    <x v="1"/>
    <x v="0"/>
    <x v="0"/>
    <s v="Annual"/>
    <s v="TUR_TE_08"/>
    <s v="Fuel Tax Exemption for Vehicles Used for National Security"/>
    <x v="2"/>
    <x v="0"/>
    <n v="703716490"/>
    <n v="703716490"/>
    <s v="High Impact"/>
    <m/>
    <x v="0"/>
    <n v="4"/>
    <n v="703716490"/>
    <x v="2"/>
    <s v="A"/>
    <n v="703716490"/>
    <e v="#NAME?"/>
    <e v="#NAME?"/>
  </r>
  <r>
    <x v="2"/>
    <x v="0"/>
    <x v="0"/>
    <s v="Annual"/>
    <s v="TUR_TE_17"/>
    <s v="Value Added Tax Exemption for Imported and/or Locally Provided Investment Machinery within the Scope of Incentive Certificates"/>
    <x v="0"/>
    <x v="0"/>
    <n v="13996378"/>
    <n v="13996378"/>
    <s v="Medium Impact"/>
    <n v="-98.011077159780598"/>
    <x v="0"/>
    <n v="4"/>
    <n v="99912404.875"/>
    <x v="0"/>
    <s v="A"/>
    <n v="13996378"/>
    <e v="#NAME?"/>
    <e v="#NAME?"/>
  </r>
  <r>
    <x v="0"/>
    <x v="0"/>
    <x v="0"/>
    <s v="Annual"/>
    <s v="TUR_TE_05"/>
    <s v="Tax Exemption for the Transportation and Distribution of Oil and Gas"/>
    <x v="1"/>
    <x v="0"/>
    <n v="703716490"/>
    <n v="703716490"/>
    <s v="High Impact"/>
    <m/>
    <x v="0"/>
    <n v="4"/>
    <n v="703716490"/>
    <x v="2"/>
    <s v="A"/>
    <n v="703716490"/>
    <e v="#NAME?"/>
    <e v="#NAME?"/>
  </r>
  <r>
    <x v="1"/>
    <x v="0"/>
    <x v="0"/>
    <s v="Annual"/>
    <s v="TUR_TE_05"/>
    <s v="Tax Exemption for the Transportation and Distribution of Oil and Gas"/>
    <x v="1"/>
    <x v="0"/>
    <n v="703716490"/>
    <n v="703716490"/>
    <s v="High Impact"/>
    <m/>
    <x v="0"/>
    <n v="4"/>
    <n v="703716490"/>
    <x v="2"/>
    <s v="A"/>
    <n v="703716490"/>
    <e v="#NAME?"/>
    <e v="#NAME?"/>
  </r>
  <r>
    <x v="2"/>
    <x v="0"/>
    <x v="0"/>
    <s v="Annual"/>
    <s v="TUR_TE_05"/>
    <s v="Tax Exemption for the Transportation and Distribution of Oil and Gas"/>
    <x v="1"/>
    <x v="0"/>
    <n v="703716490"/>
    <n v="703716490"/>
    <s v="High Impact"/>
    <m/>
    <x v="0"/>
    <n v="4"/>
    <n v="703716490"/>
    <x v="2"/>
    <s v="A"/>
    <n v="703716490"/>
    <e v="#NAME?"/>
    <e v="#NAME?"/>
  </r>
  <r>
    <x v="0"/>
    <x v="0"/>
    <x v="0"/>
    <s v="Annual"/>
    <s v="TUR_TE_20"/>
    <s v="Personel Income Withholding Tax Support for R&amp;D personnel"/>
    <x v="0"/>
    <x v="0"/>
    <n v="728210"/>
    <n v="728210"/>
    <s v="Low Impact"/>
    <m/>
    <x v="0"/>
    <n v="4"/>
    <n v="16440389.375"/>
    <x v="0"/>
    <s v="A"/>
    <n v="728210"/>
    <e v="#NAME?"/>
    <e v="#NAME?"/>
  </r>
  <r>
    <x v="1"/>
    <x v="0"/>
    <x v="0"/>
    <s v="Annual"/>
    <s v="TUR_TE_20"/>
    <s v="Personel Income Withholding Tax Support for R&amp;D personnel"/>
    <x v="0"/>
    <x v="0"/>
    <n v="1357852"/>
    <n v="1357852"/>
    <s v="Medium Impact"/>
    <n v="86.464344076571294"/>
    <x v="0"/>
    <n v="4"/>
    <n v="16440389.375"/>
    <x v="0"/>
    <s v="A"/>
    <n v="1357852"/>
    <e v="#NAME?"/>
    <e v="#NAME?"/>
  </r>
  <r>
    <x v="2"/>
    <x v="0"/>
    <x v="0"/>
    <s v="Annual"/>
    <s v="TUR_TE_20"/>
    <s v="Personel Income Withholding Tax Support for R&amp;D personnel"/>
    <x v="0"/>
    <x v="0"/>
    <n v="298702"/>
    <n v="298702"/>
    <s v="Low Impact"/>
    <n v="-78.001873547337993"/>
    <x v="0"/>
    <n v="4"/>
    <n v="16440389.375"/>
    <x v="0"/>
    <s v="A"/>
    <n v="298702"/>
    <e v="#NAME?"/>
    <e v="#NAME?"/>
  </r>
  <r>
    <x v="0"/>
    <x v="0"/>
    <x v="0"/>
    <s v="Annual"/>
    <s v="TUR_TE_07"/>
    <s v="Fuel Tax Exemption for Domestic Commercial Aviation"/>
    <x v="2"/>
    <x v="0"/>
    <n v="4736847000"/>
    <n v="4736847000"/>
    <s v="High Impact"/>
    <m/>
    <x v="0"/>
    <n v="4"/>
    <n v="4078783500"/>
    <x v="0"/>
    <s v="A"/>
    <n v="4736847000"/>
    <e v="#NAME?"/>
    <e v="#NAME?"/>
  </r>
  <r>
    <x v="1"/>
    <x v="0"/>
    <x v="0"/>
    <s v="Annual"/>
    <s v="TUR_TE_07"/>
    <s v="Fuel Tax Exemption for Domestic Commercial Aviation"/>
    <x v="2"/>
    <x v="0"/>
    <n v="5550230000"/>
    <n v="5550230000"/>
    <s v="High Impact"/>
    <n v="17.171401145107701"/>
    <x v="0"/>
    <n v="4"/>
    <n v="4078783500"/>
    <x v="0"/>
    <s v="A"/>
    <n v="5550230000"/>
    <e v="#NAME?"/>
    <e v="#NAME?"/>
  </r>
  <r>
    <x v="2"/>
    <x v="0"/>
    <x v="0"/>
    <s v="Annual"/>
    <s v="TUR_TE_07"/>
    <s v="Fuel Tax Exemption for Domestic Commercial Aviation"/>
    <x v="2"/>
    <x v="0"/>
    <n v="2242754000"/>
    <n v="2242754000"/>
    <s v="High Impact"/>
    <n v="-59.591692596523004"/>
    <x v="0"/>
    <n v="4"/>
    <n v="4078783500"/>
    <x v="0"/>
    <s v="A"/>
    <n v="2242754000"/>
    <e v="#NAME?"/>
    <e v="#NAME?"/>
  </r>
  <r>
    <x v="0"/>
    <x v="0"/>
    <x v="0"/>
    <s v="Annual"/>
    <s v="TUR_TE_05"/>
    <s v="Tax Exemption for the Transportation and Distribution of Oil and Gas"/>
    <x v="1"/>
    <x v="0"/>
    <n v="703716490"/>
    <n v="703716490"/>
    <s v="High Impact"/>
    <m/>
    <x v="0"/>
    <n v="4"/>
    <n v="703716490"/>
    <x v="2"/>
    <s v="A"/>
    <n v="703716490"/>
    <e v="#NAME?"/>
    <e v="#NAME?"/>
  </r>
  <r>
    <x v="1"/>
    <x v="0"/>
    <x v="0"/>
    <s v="Annual"/>
    <s v="TUR_TE_05"/>
    <s v="Tax Exemption for the Transportation and Distribution of Oil and Gas"/>
    <x v="1"/>
    <x v="0"/>
    <n v="703716490"/>
    <n v="703716490"/>
    <s v="High Impact"/>
    <m/>
    <x v="0"/>
    <n v="4"/>
    <n v="703716490"/>
    <x v="2"/>
    <s v="A"/>
    <n v="703716490"/>
    <e v="#NAME?"/>
    <e v="#NAME?"/>
  </r>
  <r>
    <x v="2"/>
    <x v="0"/>
    <x v="0"/>
    <s v="Annual"/>
    <s v="TUR_TE_05"/>
    <s v="Tax Exemption for the Transportation and Distribution of Oil and Gas"/>
    <x v="1"/>
    <x v="0"/>
    <n v="703716490"/>
    <n v="703716490"/>
    <s v="High Impact"/>
    <m/>
    <x v="0"/>
    <n v="4"/>
    <n v="703716490"/>
    <x v="2"/>
    <s v="A"/>
    <n v="703716490"/>
    <e v="#NAME?"/>
    <e v="#NAME?"/>
  </r>
  <r>
    <x v="0"/>
    <x v="0"/>
    <x v="0"/>
    <s v="Annual"/>
    <s v="TUR_DT_07"/>
    <s v="Personal Income Tax exemption for underground workers"/>
    <x v="0"/>
    <x v="0"/>
    <n v="21967616"/>
    <n v="21967616"/>
    <s v="Medium Impact"/>
    <n v="-96.878342867878501"/>
    <x v="0"/>
    <n v="4"/>
    <n v="190634414.125"/>
    <x v="0"/>
    <s v="A"/>
    <n v="21967616"/>
    <e v="#NAME?"/>
    <e v="#NAME?"/>
  </r>
  <r>
    <x v="1"/>
    <x v="0"/>
    <x v="0"/>
    <s v="Annual"/>
    <s v="TUR_DT_07"/>
    <s v="Personal Income Tax exemption for underground workers"/>
    <x v="0"/>
    <x v="0"/>
    <n v="703716490"/>
    <n v="703716490"/>
    <s v="High Impact"/>
    <n v="3103.4267623760302"/>
    <x v="0"/>
    <n v="4"/>
    <n v="190634414.125"/>
    <x v="0"/>
    <s v="A"/>
    <n v="703716490"/>
    <e v="#NAME?"/>
    <e v="#NAME?"/>
  </r>
  <r>
    <x v="2"/>
    <x v="0"/>
    <x v="0"/>
    <s v="Annual"/>
    <s v="TUR_DT_07"/>
    <s v="Personal Income Tax exemption for underground workers"/>
    <x v="0"/>
    <x v="0"/>
    <n v="19187896"/>
    <n v="19187896"/>
    <s v="Medium Impact"/>
    <n v="-97.273348532730793"/>
    <x v="0"/>
    <n v="4"/>
    <n v="190634414.125"/>
    <x v="0"/>
    <s v="A"/>
    <n v="19187896"/>
    <e v="#NAME?"/>
    <e v="#NAME?"/>
  </r>
  <r>
    <x v="0"/>
    <x v="0"/>
    <x v="0"/>
    <s v="Annual"/>
    <s v="TUR_DT_09"/>
    <s v="Capacity mechanism payments for Natural Gas"/>
    <x v="4"/>
    <x v="1"/>
    <n v="2020583712"/>
    <n v="2020583712"/>
    <s v="High Impact"/>
    <m/>
    <x v="0"/>
    <n v="4"/>
    <n v="1391639889.75"/>
    <x v="0"/>
    <s v="A"/>
    <n v="2020583712"/>
    <e v="#NAME?"/>
    <e v="#NAME?"/>
  </r>
  <r>
    <x v="1"/>
    <x v="0"/>
    <x v="0"/>
    <s v="Annual"/>
    <s v="TUR_DT_09"/>
    <s v="Capacity mechanism payments for Natural Gas"/>
    <x v="4"/>
    <x v="1"/>
    <n v="2489700256"/>
    <n v="2489700256"/>
    <s v="High Impact"/>
    <n v="23.216882389676499"/>
    <x v="0"/>
    <n v="4"/>
    <n v="1391639889.75"/>
    <x v="0"/>
    <s v="A"/>
    <n v="2489700256"/>
    <e v="#NAME?"/>
    <e v="#NAME?"/>
  </r>
  <r>
    <x v="2"/>
    <x v="0"/>
    <x v="0"/>
    <s v="Annual"/>
    <s v="TUR_DT_09"/>
    <s v="Capacity mechanism payments for Natural Gas"/>
    <x v="4"/>
    <x v="1"/>
    <n v="816577178"/>
    <n v="816577178"/>
    <s v="High Impact"/>
    <n v="-67.201787603463202"/>
    <x v="0"/>
    <n v="4"/>
    <n v="1391639889.75"/>
    <x v="0"/>
    <s v="A"/>
    <n v="816577178"/>
    <e v="#NAME?"/>
    <e v="#NAME?"/>
  </r>
  <r>
    <x v="0"/>
    <x v="0"/>
    <x v="0"/>
    <s v="Annual"/>
    <s v="TUR_DT_07"/>
    <s v="Personal Income Tax exemption for underground workers"/>
    <x v="0"/>
    <x v="0"/>
    <n v="2854505"/>
    <n v="2854505"/>
    <s v="Medium Impact"/>
    <n v="-85.123408006797604"/>
    <x v="0"/>
    <n v="4"/>
    <n v="190634414.125"/>
    <x v="0"/>
    <s v="A"/>
    <n v="2854505"/>
    <e v="#NAME?"/>
    <e v="#NAME?"/>
  </r>
  <r>
    <x v="1"/>
    <x v="0"/>
    <x v="0"/>
    <s v="Annual"/>
    <s v="TUR_DT_07"/>
    <s v="Personal Income Tax exemption for underground workers"/>
    <x v="0"/>
    <x v="0"/>
    <n v="703716490"/>
    <n v="703716490"/>
    <s v="High Impact"/>
    <n v="24552.837882575001"/>
    <x v="0"/>
    <n v="4"/>
    <n v="190634414.125"/>
    <x v="0"/>
    <s v="A"/>
    <n v="703716490"/>
    <e v="#NAME?"/>
    <e v="#NAME?"/>
  </r>
  <r>
    <x v="2"/>
    <x v="0"/>
    <x v="0"/>
    <s v="Annual"/>
    <s v="TUR_DT_07"/>
    <s v="Personal Income Tax exemption for underground workers"/>
    <x v="0"/>
    <x v="0"/>
    <n v="2265444"/>
    <n v="2265444"/>
    <s v="Medium Impact"/>
    <n v="-99.678074333599795"/>
    <x v="0"/>
    <n v="4"/>
    <n v="190634414.125"/>
    <x v="0"/>
    <s v="A"/>
    <n v="2265444"/>
    <e v="#NAME?"/>
    <e v="#NAME?"/>
  </r>
  <r>
    <x v="0"/>
    <x v="0"/>
    <x v="0"/>
    <s v="Annual"/>
    <s v="TUR_TE_09"/>
    <s v="Fuel Tax Exemption for Fuel Oil and Diesel Used for Electricity Generation"/>
    <x v="1"/>
    <x v="0"/>
    <n v="703716490"/>
    <n v="703716490"/>
    <s v="High Impact"/>
    <m/>
    <x v="0"/>
    <n v="4"/>
    <n v="703716490"/>
    <x v="2"/>
    <s v="A"/>
    <n v="703716490"/>
    <e v="#NAME?"/>
    <e v="#NAME?"/>
  </r>
  <r>
    <x v="1"/>
    <x v="0"/>
    <x v="0"/>
    <s v="Annual"/>
    <s v="TUR_TE_09"/>
    <s v="Fuel Tax Exemption for Fuel Oil and Diesel Used for Electricity Generation"/>
    <x v="1"/>
    <x v="0"/>
    <n v="703716490"/>
    <n v="703716490"/>
    <s v="High Impact"/>
    <m/>
    <x v="0"/>
    <n v="4"/>
    <n v="703716490"/>
    <x v="2"/>
    <s v="A"/>
    <n v="703716490"/>
    <e v="#NAME?"/>
    <e v="#NAME?"/>
  </r>
  <r>
    <x v="2"/>
    <x v="0"/>
    <x v="0"/>
    <s v="Annual"/>
    <s v="TUR_TE_09"/>
    <s v="Fuel Tax Exemption for Fuel Oil and Diesel Used for Electricity Generation"/>
    <x v="1"/>
    <x v="0"/>
    <n v="703716490"/>
    <n v="703716490"/>
    <s v="High Impact"/>
    <m/>
    <x v="0"/>
    <n v="4"/>
    <n v="703716490"/>
    <x v="2"/>
    <s v="A"/>
    <n v="703716490"/>
    <e v="#NAME?"/>
    <e v="#NAME?"/>
  </r>
  <r>
    <x v="0"/>
    <x v="0"/>
    <x v="0"/>
    <s v="Annual"/>
    <s v="TUR_DT_01"/>
    <s v="Aid to the Hard Coal Industry"/>
    <x v="3"/>
    <x v="1"/>
    <n v="635958851"/>
    <n v="635958851"/>
    <s v="High Impact"/>
    <n v="-30.9617349166286"/>
    <x v="0"/>
    <n v="4"/>
    <n v="738429122.5"/>
    <x v="1"/>
    <s v="A"/>
    <n v="635958851"/>
    <e v="#NAME?"/>
    <e v="#NAME?"/>
  </r>
  <r>
    <x v="1"/>
    <x v="0"/>
    <x v="0"/>
    <s v="Annual"/>
    <s v="TUR_DT_01"/>
    <s v="Aid to the Hard Coal Industry"/>
    <x v="3"/>
    <x v="1"/>
    <n v="703716490"/>
    <n v="703716490"/>
    <s v="High Impact"/>
    <n v="10.6544061606275"/>
    <x v="0"/>
    <n v="4"/>
    <n v="738429122.5"/>
    <x v="1"/>
    <s v="A"/>
    <n v="703716490"/>
    <e v="#NAME?"/>
    <e v="#NAME?"/>
  </r>
  <r>
    <x v="2"/>
    <x v="0"/>
    <x v="0"/>
    <s v="Annual"/>
    <s v="TUR_DT_01"/>
    <s v="Aid to the Hard Coal Industry"/>
    <x v="3"/>
    <x v="1"/>
    <n v="578831355"/>
    <n v="578831355"/>
    <s v="High Impact"/>
    <n v="-17.7465125195517"/>
    <x v="0"/>
    <n v="4"/>
    <n v="738429122.5"/>
    <x v="1"/>
    <s v="A"/>
    <n v="578831355"/>
    <e v="#NAME?"/>
    <e v="#NAME?"/>
  </r>
  <r>
    <x v="0"/>
    <x v="0"/>
    <x v="0"/>
    <s v="Annual"/>
    <s v="TUR_DT_03"/>
    <s v="Support for Domestic Oil, Natural Gas and Coal Exploration"/>
    <x v="1"/>
    <x v="1"/>
    <n v="6204"/>
    <n v="6204"/>
    <s v="Low Impact"/>
    <n v="32.9903536977491"/>
    <x v="0"/>
    <n v="4"/>
    <n v="64491.166666666599"/>
    <x v="0"/>
    <s v="A"/>
    <n v="6204"/>
    <e v="#NAME?"/>
    <e v="#NAME?"/>
  </r>
  <r>
    <x v="1"/>
    <x v="0"/>
    <x v="0"/>
    <s v="Annual"/>
    <s v="TUR_DT_03"/>
    <s v="Support for Domestic Oil, Natural Gas and Coal Exploration"/>
    <x v="1"/>
    <x v="1"/>
    <n v="6497"/>
    <n v="6497"/>
    <s v="Low Impact"/>
    <n v="4.7227595099935398"/>
    <x v="0"/>
    <n v="4"/>
    <n v="64491.166666666599"/>
    <x v="0"/>
    <s v="A"/>
    <n v="6497"/>
    <e v="#NAME?"/>
    <e v="#NAME?"/>
  </r>
  <r>
    <x v="2"/>
    <x v="0"/>
    <x v="0"/>
    <s v="Annual"/>
    <s v="TUR_DT_03"/>
    <s v="Support for Domestic Oil, Natural Gas and Coal Exploration"/>
    <x v="1"/>
    <x v="1"/>
    <n v="6977"/>
    <n v="6977"/>
    <s v="Low Impact"/>
    <n v="7.3880252424195696"/>
    <x v="0"/>
    <n v="4"/>
    <n v="64491.166666666599"/>
    <x v="0"/>
    <s v="A"/>
    <n v="6977"/>
    <e v="#NAME?"/>
    <e v="#NAME?"/>
  </r>
  <r>
    <x v="0"/>
    <x v="0"/>
    <x v="0"/>
    <s v="Annual"/>
    <s v="TUR_TE_16"/>
    <s v="Personal Income Withholding Tax Support for Investments with Incentive Certificates"/>
    <x v="0"/>
    <x v="0"/>
    <n v="703716490"/>
    <n v="703716490"/>
    <s v="High Impact"/>
    <m/>
    <x v="0"/>
    <n v="4"/>
    <n v="351976579.75"/>
    <x v="0"/>
    <s v="A"/>
    <n v="703716490"/>
    <e v="#NAME?"/>
    <e v="#NAME?"/>
  </r>
  <r>
    <x v="1"/>
    <x v="0"/>
    <x v="0"/>
    <s v="Annual"/>
    <s v="TUR_TE_16"/>
    <s v="Personal Income Withholding Tax Support for Investments with Incentive Certificates"/>
    <x v="0"/>
    <x v="0"/>
    <n v="703716490"/>
    <n v="703716490"/>
    <s v="High Impact"/>
    <m/>
    <x v="0"/>
    <n v="4"/>
    <n v="351976579.75"/>
    <x v="0"/>
    <s v="A"/>
    <n v="703716490"/>
    <e v="#NAME?"/>
    <e v="#NAME?"/>
  </r>
  <r>
    <x v="2"/>
    <x v="0"/>
    <x v="0"/>
    <s v="Annual"/>
    <s v="TUR_TE_16"/>
    <s v="Personal Income Withholding Tax Support for Investments with Incentive Certificates"/>
    <x v="0"/>
    <x v="0"/>
    <n v="195000"/>
    <n v="195000"/>
    <s v="Low Impact"/>
    <n v="-99.972289977175294"/>
    <x v="0"/>
    <n v="4"/>
    <n v="351976579.75"/>
    <x v="0"/>
    <s v="A"/>
    <n v="195000"/>
    <e v="#NAME?"/>
    <e v="#NAME?"/>
  </r>
  <r>
    <x v="3"/>
    <x v="0"/>
    <x v="0"/>
    <s v="Annual"/>
    <s v="TUR_TE_21"/>
    <s v="R&amp;D Tax credits in Law No:5746 Article 3/A"/>
    <x v="0"/>
    <x v="0"/>
    <n v="139383"/>
    <n v="139383"/>
    <s v="Low Impact"/>
    <n v="-11.740457435222"/>
    <x v="0"/>
    <n v="4"/>
    <n v="153547.625"/>
    <x v="1"/>
    <s v="A"/>
    <n v="139383"/>
    <e v="#NAME?"/>
    <e v="#NAME?"/>
  </r>
  <r>
    <x v="0"/>
    <x v="0"/>
    <x v="0"/>
    <s v="Annual"/>
    <s v="TUR_TE_21"/>
    <s v="R&amp;D Tax credits in Law No:5746 Article 3/A"/>
    <x v="0"/>
    <x v="0"/>
    <n v="171181"/>
    <n v="171181"/>
    <s v="Low Impact"/>
    <n v="22.813399051534201"/>
    <x v="0"/>
    <n v="4"/>
    <n v="153547.625"/>
    <x v="1"/>
    <s v="A"/>
    <n v="171181"/>
    <e v="#NAME?"/>
    <e v="#NAME?"/>
  </r>
  <r>
    <x v="1"/>
    <x v="0"/>
    <x v="0"/>
    <s v="Annual"/>
    <s v="TUR_TE_21"/>
    <s v="R&amp;D Tax credits in Law No:5746 Article 3/A"/>
    <x v="0"/>
    <x v="0"/>
    <n v="157924"/>
    <n v="157924"/>
    <s v="Low Impact"/>
    <n v="-7.7444342538015301"/>
    <x v="0"/>
    <n v="4"/>
    <n v="153547.625"/>
    <x v="1"/>
    <s v="A"/>
    <n v="157924"/>
    <e v="#NAME?"/>
    <e v="#NAME?"/>
  </r>
  <r>
    <x v="0"/>
    <x v="0"/>
    <x v="0"/>
    <s v="Annual"/>
    <s v="TUR_TE_13"/>
    <s v="Fuel Tax Exemption for Diesel Blended with Domestically Sourced Biodiesel"/>
    <x v="2"/>
    <x v="0"/>
    <n v="149270000"/>
    <n v="149270000"/>
    <s v="High Impact"/>
    <m/>
    <x v="0"/>
    <n v="4"/>
    <n v="156832250"/>
    <x v="1"/>
    <s v="A"/>
    <n v="149270000"/>
    <e v="#NAME?"/>
    <e v="#NAME?"/>
  </r>
  <r>
    <x v="1"/>
    <x v="0"/>
    <x v="0"/>
    <s v="Annual"/>
    <s v="TUR_TE_13"/>
    <s v="Fuel Tax Exemption for Diesel Blended with Domestically Sourced Biodiesel"/>
    <x v="2"/>
    <x v="0"/>
    <n v="253387000"/>
    <n v="253387000"/>
    <s v="High Impact"/>
    <n v="69.750787164199096"/>
    <x v="0"/>
    <n v="4"/>
    <n v="156832250"/>
    <x v="1"/>
    <s v="A"/>
    <n v="253387000"/>
    <e v="#NAME?"/>
    <e v="#NAME?"/>
  </r>
  <r>
    <x v="2"/>
    <x v="0"/>
    <x v="0"/>
    <s v="Annual"/>
    <s v="TUR_TE_13"/>
    <s v="Fuel Tax Exemption for Diesel Blended with Domestically Sourced Biodiesel"/>
    <x v="2"/>
    <x v="0"/>
    <n v="171639000"/>
    <n v="171639000"/>
    <s v="High Impact"/>
    <n v="-32.262112894505201"/>
    <x v="0"/>
    <n v="4"/>
    <n v="156832250"/>
    <x v="1"/>
    <s v="A"/>
    <n v="171639000"/>
    <e v="#NAME?"/>
    <e v="#NAME?"/>
  </r>
  <r>
    <x v="2"/>
    <x v="0"/>
    <x v="0"/>
    <s v="Annual"/>
    <s v="TUR_DT_07"/>
    <s v="Personal Income Tax exemption for underground workers"/>
    <x v="0"/>
    <x v="0"/>
    <n v="78291417"/>
    <n v="78291417"/>
    <s v="Medium Impact"/>
    <n v="3355.8972545779102"/>
    <x v="0"/>
    <n v="4"/>
    <n v="190634414.125"/>
    <x v="0"/>
    <s v="A"/>
    <n v="78291417"/>
    <e v="#NAME?"/>
    <e v="#NAME?"/>
  </r>
  <r>
    <x v="3"/>
    <x v="0"/>
    <x v="0"/>
    <s v="Annual"/>
    <s v="TUR_DT_07"/>
    <s v="Personal Income Tax exemption for underground workers"/>
    <x v="0"/>
    <x v="0"/>
    <n v="90431351"/>
    <n v="90431351"/>
    <s v="Medium Impact"/>
    <n v="15.506085424408599"/>
    <x v="0"/>
    <n v="4"/>
    <n v="190634414.125"/>
    <x v="0"/>
    <s v="A"/>
    <n v="90431351"/>
    <e v="#NAME?"/>
    <e v="#NAME?"/>
  </r>
  <r>
    <x v="0"/>
    <x v="0"/>
    <x v="0"/>
    <s v="Annual"/>
    <s v="TUR_DT_07"/>
    <s v="Personal Income Tax exemption for underground workers"/>
    <x v="0"/>
    <x v="0"/>
    <n v="90516897"/>
    <n v="90516897"/>
    <s v="Medium Impact"/>
    <n v="9.4597724189693297E-2"/>
    <x v="0"/>
    <n v="4"/>
    <n v="190634414.125"/>
    <x v="0"/>
    <s v="A"/>
    <n v="90516897"/>
    <e v="#NAME?"/>
    <e v="#NAME?"/>
  </r>
  <r>
    <x v="0"/>
    <x v="0"/>
    <x v="0"/>
    <s v="Annual"/>
    <s v="TUR_TE_10"/>
    <s v="Fuel Tax Exemption for Diesel Used by Export Vehicles"/>
    <x v="2"/>
    <x v="0"/>
    <n v="512797000"/>
    <n v="512797000"/>
    <s v="High Impact"/>
    <m/>
    <x v="0"/>
    <n v="4"/>
    <n v="614407000"/>
    <x v="0"/>
    <s v="A"/>
    <n v="512797000"/>
    <e v="#NAME?"/>
    <e v="#NAME?"/>
  </r>
  <r>
    <x v="1"/>
    <x v="0"/>
    <x v="0"/>
    <s v="Annual"/>
    <s v="TUR_TE_10"/>
    <s v="Fuel Tax Exemption for Diesel Used by Export Vehicles"/>
    <x v="2"/>
    <x v="0"/>
    <n v="870475000"/>
    <n v="870475000"/>
    <s v="High Impact"/>
    <n v="69.750408056209295"/>
    <x v="0"/>
    <n v="4"/>
    <n v="614407000"/>
    <x v="0"/>
    <s v="A"/>
    <n v="870475000"/>
    <e v="#NAME?"/>
    <e v="#NAME?"/>
  </r>
  <r>
    <x v="2"/>
    <x v="0"/>
    <x v="0"/>
    <s v="Annual"/>
    <s v="TUR_TE_10"/>
    <s v="Fuel Tax Exemption for Diesel Used by Export Vehicles"/>
    <x v="2"/>
    <x v="0"/>
    <n v="720925000"/>
    <n v="720925000"/>
    <s v="High Impact"/>
    <n v="-17.180275137137698"/>
    <x v="0"/>
    <n v="4"/>
    <n v="614407000"/>
    <x v="0"/>
    <s v="A"/>
    <n v="720925000"/>
    <e v="#NAME?"/>
    <e v="#NAME?"/>
  </r>
  <r>
    <x v="0"/>
    <x v="0"/>
    <x v="0"/>
    <s v="Annual"/>
    <s v="TUR_TE_19"/>
    <s v="R&amp;D Tax credits in Law No:5746 Article 3/1"/>
    <x v="0"/>
    <x v="0"/>
    <n v="2930865"/>
    <n v="2930865"/>
    <s v="Medium Impact"/>
    <n v="114.780054653818"/>
    <x v="0"/>
    <n v="4"/>
    <n v="2167758.375"/>
    <x v="0"/>
    <s v="A"/>
    <n v="2930865"/>
    <e v="#NAME?"/>
    <e v="#NAME?"/>
  </r>
  <r>
    <x v="1"/>
    <x v="0"/>
    <x v="0"/>
    <s v="Annual"/>
    <s v="TUR_TE_19"/>
    <s v="R&amp;D Tax credits in Law No:5746 Article 3/1"/>
    <x v="0"/>
    <x v="0"/>
    <n v="2147166"/>
    <n v="2147166"/>
    <s v="Medium Impact"/>
    <n v="-26.739512055314702"/>
    <x v="0"/>
    <n v="4"/>
    <n v="2167758.375"/>
    <x v="0"/>
    <s v="A"/>
    <n v="2147166"/>
    <e v="#NAME?"/>
    <e v="#NAME?"/>
  </r>
  <r>
    <x v="2"/>
    <x v="0"/>
    <x v="0"/>
    <s v="Annual"/>
    <s v="TUR_TE_19"/>
    <s v="R&amp;D Tax credits in Law No:5746 Article 3/1"/>
    <x v="0"/>
    <x v="0"/>
    <n v="2456260"/>
    <n v="2456260"/>
    <s v="Medium Impact"/>
    <n v="14.3954403152807"/>
    <x v="0"/>
    <n v="4"/>
    <n v="2167758.375"/>
    <x v="0"/>
    <s v="A"/>
    <n v="2456260"/>
    <e v="#NAME?"/>
    <e v="#NAME?"/>
  </r>
  <r>
    <x v="0"/>
    <x v="0"/>
    <x v="0"/>
    <s v="Annual"/>
    <s v="TUR_TE_08"/>
    <s v="Fuel Tax Exemption for Vehicles Used for National Security"/>
    <x v="2"/>
    <x v="0"/>
    <n v="703716490"/>
    <n v="703716490"/>
    <s v="High Impact"/>
    <m/>
    <x v="0"/>
    <n v="4"/>
    <n v="703716490"/>
    <x v="2"/>
    <s v="A"/>
    <n v="703716490"/>
    <e v="#NAME?"/>
    <e v="#NAME?"/>
  </r>
  <r>
    <x v="1"/>
    <x v="0"/>
    <x v="0"/>
    <s v="Annual"/>
    <s v="TUR_TE_08"/>
    <s v="Fuel Tax Exemption for Vehicles Used for National Security"/>
    <x v="2"/>
    <x v="0"/>
    <n v="703716490"/>
    <n v="703716490"/>
    <s v="High Impact"/>
    <m/>
    <x v="0"/>
    <n v="4"/>
    <n v="703716490"/>
    <x v="2"/>
    <s v="A"/>
    <n v="703716490"/>
    <e v="#NAME?"/>
    <e v="#NAME?"/>
  </r>
  <r>
    <x v="2"/>
    <x v="0"/>
    <x v="0"/>
    <s v="Annual"/>
    <s v="TUR_TE_08"/>
    <s v="Fuel Tax Exemption for Vehicles Used for National Security"/>
    <x v="2"/>
    <x v="0"/>
    <n v="703716490"/>
    <n v="703716490"/>
    <s v="High Impact"/>
    <m/>
    <x v="0"/>
    <n v="4"/>
    <n v="703716490"/>
    <x v="2"/>
    <s v="A"/>
    <n v="703716490"/>
    <e v="#NAME?"/>
    <e v="#NAME?"/>
  </r>
  <r>
    <x v="0"/>
    <x v="0"/>
    <x v="0"/>
    <s v="Annual"/>
    <s v="TUR_TE_12"/>
    <s v="Fuel Tax Exemption for Naphta, Petroleum Coke and Petroleum Bitumen"/>
    <x v="2"/>
    <x v="0"/>
    <n v="4211216800"/>
    <n v="4211216800"/>
    <s v="High Impact"/>
    <n v="76.060857473634897"/>
    <x v="0"/>
    <n v="4"/>
    <n v="2578410250"/>
    <x v="0"/>
    <s v="A"/>
    <n v="4211216800"/>
    <e v="#NAME?"/>
    <e v="#NAME?"/>
  </r>
  <r>
    <x v="1"/>
    <x v="0"/>
    <x v="0"/>
    <s v="Annual"/>
    <s v="TUR_TE_12"/>
    <s v="Fuel Tax Exemption for Naphta, Petroleum Coke and Petroleum Bitumen"/>
    <x v="2"/>
    <x v="0"/>
    <n v="5268207817"/>
    <n v="5268207817"/>
    <s v="High Impact"/>
    <n v="25.0994205997658"/>
    <x v="0"/>
    <n v="4"/>
    <n v="2578410250"/>
    <x v="0"/>
    <s v="A"/>
    <n v="5268207817"/>
    <e v="#NAME?"/>
    <e v="#NAME?"/>
  </r>
  <r>
    <x v="2"/>
    <x v="0"/>
    <x v="0"/>
    <s v="Annual"/>
    <s v="TUR_TE_12"/>
    <s v="Fuel Tax Exemption for Naphta, Petroleum Coke and Petroleum Bitumen"/>
    <x v="2"/>
    <x v="0"/>
    <n v="4419994076"/>
    <n v="4419994076"/>
    <s v="High Impact"/>
    <n v="-16.100612778844699"/>
    <x v="0"/>
    <n v="4"/>
    <n v="2578410250"/>
    <x v="0"/>
    <s v="A"/>
    <n v="4419994076"/>
    <e v="#NAME?"/>
    <e v="#NAME?"/>
  </r>
  <r>
    <x v="0"/>
    <x v="0"/>
    <x v="0"/>
    <s v="Annual"/>
    <s v="TUR_TE_17"/>
    <s v="Value Added Tax Exemption for Imported and/or Locally Provided Investment Machinery within the Scope of Incentive Certificates"/>
    <x v="0"/>
    <x v="0"/>
    <n v="6679500"/>
    <n v="6679500"/>
    <s v="Medium Impact"/>
    <n v="-52.2769390766668"/>
    <x v="0"/>
    <n v="4"/>
    <n v="99912404.875"/>
    <x v="0"/>
    <s v="A"/>
    <n v="6679500"/>
    <e v="#NAME?"/>
    <e v="#NAME?"/>
  </r>
  <r>
    <x v="1"/>
    <x v="0"/>
    <x v="0"/>
    <s v="Annual"/>
    <s v="TUR_TE_17"/>
    <s v="Value Added Tax Exemption for Imported and/or Locally Provided Investment Machinery within the Scope of Incentive Certificates"/>
    <x v="0"/>
    <x v="0"/>
    <n v="6849353"/>
    <n v="6849353"/>
    <s v="Medium Impact"/>
    <n v="2.5428999176585001"/>
    <x v="0"/>
    <n v="4"/>
    <n v="99912404.875"/>
    <x v="0"/>
    <s v="A"/>
    <n v="6849353"/>
    <e v="#NAME?"/>
    <e v="#NAME?"/>
  </r>
  <r>
    <x v="2"/>
    <x v="0"/>
    <x v="0"/>
    <s v="Annual"/>
    <s v="TUR_TE_17"/>
    <s v="Value Added Tax Exemption for Imported and/or Locally Provided Investment Machinery within the Scope of Incentive Certificates"/>
    <x v="0"/>
    <x v="0"/>
    <n v="8591640"/>
    <n v="8591640"/>
    <s v="Medium Impact"/>
    <n v="25.4372493285132"/>
    <x v="0"/>
    <n v="4"/>
    <n v="99912404.875"/>
    <x v="0"/>
    <s v="A"/>
    <n v="8591640"/>
    <e v="#NAME?"/>
    <e v="#NAME?"/>
  </r>
  <r>
    <x v="0"/>
    <x v="0"/>
    <x v="0"/>
    <s v="Annual"/>
    <s v="TUR_DT_05"/>
    <s v="Construction of Coal Thermal Plants"/>
    <x v="3"/>
    <x v="1"/>
    <n v="703716490"/>
    <n v="703716490"/>
    <s v="High Impact"/>
    <m/>
    <x v="0"/>
    <n v="4"/>
    <n v="703716490"/>
    <x v="2"/>
    <s v="A"/>
    <n v="703716490"/>
    <e v="#NAME?"/>
    <e v="#NAME?"/>
  </r>
  <r>
    <x v="1"/>
    <x v="0"/>
    <x v="0"/>
    <s v="Annual"/>
    <s v="TUR_DT_05"/>
    <s v="Construction of Coal Thermal Plants"/>
    <x v="3"/>
    <x v="1"/>
    <n v="703716490"/>
    <n v="703716490"/>
    <s v="High Impact"/>
    <m/>
    <x v="0"/>
    <n v="4"/>
    <n v="703716490"/>
    <x v="2"/>
    <s v="A"/>
    <n v="703716490"/>
    <e v="#NAME?"/>
    <e v="#NAME?"/>
  </r>
  <r>
    <x v="2"/>
    <x v="0"/>
    <x v="0"/>
    <s v="Annual"/>
    <s v="TUR_DT_05"/>
    <s v="Construction of Coal Thermal Plants"/>
    <x v="3"/>
    <x v="1"/>
    <n v="703716490"/>
    <n v="703716490"/>
    <s v="High Impact"/>
    <m/>
    <x v="0"/>
    <n v="4"/>
    <n v="703716490"/>
    <x v="2"/>
    <s v="A"/>
    <n v="703716490"/>
    <e v="#NAME?"/>
    <e v="#NAME?"/>
  </r>
  <r>
    <x v="0"/>
    <x v="0"/>
    <x v="0"/>
    <s v="Annual"/>
    <s v="TUR_TE_20"/>
    <s v="Personel Income Withholding Tax Support for R&amp;D personnel"/>
    <x v="0"/>
    <x v="0"/>
    <n v="35142752"/>
    <n v="35142752"/>
    <s v="Medium Impact"/>
    <n v="11665.154568767501"/>
    <x v="0"/>
    <n v="4"/>
    <n v="16440389.375"/>
    <x v="0"/>
    <s v="A"/>
    <n v="35142752"/>
    <e v="#NAME?"/>
    <e v="#NAME?"/>
  </r>
  <r>
    <x v="1"/>
    <x v="0"/>
    <x v="0"/>
    <s v="Annual"/>
    <s v="TUR_TE_20"/>
    <s v="Personel Income Withholding Tax Support for R&amp;D personnel"/>
    <x v="0"/>
    <x v="0"/>
    <n v="65528693"/>
    <n v="65528693"/>
    <s v="Medium Impact"/>
    <n v="86.4643184460909"/>
    <x v="0"/>
    <n v="4"/>
    <n v="16440389.375"/>
    <x v="0"/>
    <s v="A"/>
    <n v="65528693"/>
    <e v="#NAME?"/>
    <e v="#NAME?"/>
  </r>
  <r>
    <x v="2"/>
    <x v="0"/>
    <x v="0"/>
    <s v="Annual"/>
    <s v="TUR_TE_20"/>
    <s v="Personel Income Withholding Tax Support for R&amp;D personnel"/>
    <x v="0"/>
    <x v="0"/>
    <n v="10983088"/>
    <n v="10983088"/>
    <s v="Medium Impact"/>
    <n v="-83.239268941316993"/>
    <x v="0"/>
    <n v="4"/>
    <n v="16440389.375"/>
    <x v="0"/>
    <s v="A"/>
    <n v="10983088"/>
    <e v="#NAME?"/>
    <e v="#NAME?"/>
  </r>
  <r>
    <x v="0"/>
    <x v="0"/>
    <x v="0"/>
    <s v="Annual"/>
    <s v="TUR_TE_08"/>
    <s v="Fuel Tax Exemption for Vehicles Used for National Security"/>
    <x v="2"/>
    <x v="0"/>
    <n v="703716490"/>
    <n v="703716490"/>
    <s v="High Impact"/>
    <m/>
    <x v="0"/>
    <n v="4"/>
    <n v="703716490"/>
    <x v="2"/>
    <s v="A"/>
    <n v="703716490"/>
    <e v="#NAME?"/>
    <e v="#NAME?"/>
  </r>
  <r>
    <x v="1"/>
    <x v="0"/>
    <x v="0"/>
    <s v="Annual"/>
    <s v="TUR_TE_08"/>
    <s v="Fuel Tax Exemption for Vehicles Used for National Security"/>
    <x v="2"/>
    <x v="0"/>
    <n v="703716490"/>
    <n v="703716490"/>
    <s v="High Impact"/>
    <m/>
    <x v="0"/>
    <n v="4"/>
    <n v="703716490"/>
    <x v="2"/>
    <s v="A"/>
    <n v="703716490"/>
    <e v="#NAME?"/>
    <e v="#NAME?"/>
  </r>
  <r>
    <x v="2"/>
    <x v="0"/>
    <x v="0"/>
    <s v="Annual"/>
    <s v="TUR_TE_08"/>
    <s v="Fuel Tax Exemption for Vehicles Used for National Security"/>
    <x v="2"/>
    <x v="0"/>
    <n v="703716490"/>
    <n v="703716490"/>
    <s v="High Impact"/>
    <m/>
    <x v="0"/>
    <n v="4"/>
    <n v="703716490"/>
    <x v="2"/>
    <s v="A"/>
    <n v="703716490"/>
    <e v="#NAME?"/>
    <e v="#NAME?"/>
  </r>
  <r>
    <x v="0"/>
    <x v="0"/>
    <x v="0"/>
    <s v="Annual"/>
    <s v="TUR_DT_05"/>
    <s v="Construction of Coal Thermal Plants"/>
    <x v="3"/>
    <x v="1"/>
    <n v="703716490"/>
    <n v="703716490"/>
    <s v="High Impact"/>
    <m/>
    <x v="0"/>
    <n v="4"/>
    <n v="703716490"/>
    <x v="2"/>
    <s v="A"/>
    <n v="703716490"/>
    <e v="#NAME?"/>
    <e v="#NAME?"/>
  </r>
  <r>
    <x v="1"/>
    <x v="0"/>
    <x v="0"/>
    <s v="Annual"/>
    <s v="TUR_DT_05"/>
    <s v="Construction of Coal Thermal Plants"/>
    <x v="3"/>
    <x v="1"/>
    <n v="703716490"/>
    <n v="703716490"/>
    <s v="High Impact"/>
    <m/>
    <x v="0"/>
    <n v="4"/>
    <n v="703716490"/>
    <x v="2"/>
    <s v="A"/>
    <n v="703716490"/>
    <e v="#NAME?"/>
    <e v="#NAME?"/>
  </r>
  <r>
    <x v="2"/>
    <x v="0"/>
    <x v="0"/>
    <s v="Annual"/>
    <s v="TUR_DT_05"/>
    <s v="Construction of Coal Thermal Plants"/>
    <x v="3"/>
    <x v="1"/>
    <n v="703716490"/>
    <n v="703716490"/>
    <s v="High Impact"/>
    <m/>
    <x v="0"/>
    <n v="4"/>
    <n v="703716490"/>
    <x v="2"/>
    <s v="A"/>
    <n v="703716490"/>
    <e v="#NAME?"/>
    <e v="#NAME?"/>
  </r>
  <r>
    <x v="0"/>
    <x v="0"/>
    <x v="0"/>
    <s v="Annual"/>
    <s v="TUR_TE_16"/>
    <s v="Personal Income Withholding Tax Support for Investments with Incentive Certificates"/>
    <x v="0"/>
    <x v="0"/>
    <n v="703716490"/>
    <n v="703716490"/>
    <s v="High Impact"/>
    <n v="360780.25128205097"/>
    <x v="0"/>
    <n v="4"/>
    <n v="351976579.75"/>
    <x v="0"/>
    <s v="A"/>
    <n v="703716490"/>
    <e v="#NAME?"/>
    <e v="#NAME?"/>
  </r>
  <r>
    <x v="1"/>
    <x v="0"/>
    <x v="0"/>
    <s v="Annual"/>
    <s v="TUR_TE_16"/>
    <s v="Personal Income Withholding Tax Support for Investments with Incentive Certificates"/>
    <x v="0"/>
    <x v="0"/>
    <n v="703716490"/>
    <n v="703716490"/>
    <s v="High Impact"/>
    <m/>
    <x v="0"/>
    <n v="4"/>
    <n v="351976579.75"/>
    <x v="0"/>
    <s v="A"/>
    <n v="703716490"/>
    <e v="#NAME?"/>
    <e v="#NAME?"/>
  </r>
  <r>
    <x v="2"/>
    <x v="0"/>
    <x v="0"/>
    <s v="Annual"/>
    <s v="TUR_TE_16"/>
    <s v="Personal Income Withholding Tax Support for Investments with Incentive Certificates"/>
    <x v="0"/>
    <x v="0"/>
    <n v="120000"/>
    <n v="120000"/>
    <s v="Low Impact"/>
    <n v="-99.982947678261695"/>
    <x v="0"/>
    <n v="4"/>
    <n v="351976579.75"/>
    <x v="0"/>
    <s v="A"/>
    <n v="120000"/>
    <e v="#NAME?"/>
    <e v="#NAME?"/>
  </r>
  <r>
    <x v="0"/>
    <x v="0"/>
    <x v="0"/>
    <s v="Annual"/>
    <s v="TUR_TE_04"/>
    <s v="Tax Exemption for Oil and Gas Exploration and Transportation"/>
    <x v="1"/>
    <x v="0"/>
    <n v="9483763505"/>
    <n v="9483763505"/>
    <s v="High Impact"/>
    <n v="12717.8660761795"/>
    <x v="0"/>
    <n v="4"/>
    <n v="2742906750"/>
    <x v="0"/>
    <s v="A"/>
    <n v="9483763505"/>
    <e v="#NAME?"/>
    <e v="#NAME?"/>
  </r>
  <r>
    <x v="1"/>
    <x v="0"/>
    <x v="0"/>
    <s v="Annual"/>
    <s v="TUR_TE_04"/>
    <s v="Tax Exemption for Oil and Gas Exploration and Transportation"/>
    <x v="1"/>
    <x v="0"/>
    <n v="8840528395"/>
    <n v="8840528395"/>
    <s v="High Impact"/>
    <n v="-6.7824878768948098"/>
    <x v="0"/>
    <n v="4"/>
    <n v="2742906750"/>
    <x v="0"/>
    <s v="A"/>
    <n v="8840528395"/>
    <e v="#NAME?"/>
    <e v="#NAME?"/>
  </r>
  <r>
    <x v="2"/>
    <x v="0"/>
    <x v="0"/>
    <s v="Annual"/>
    <s v="TUR_TE_04"/>
    <s v="Tax Exemption for Oil and Gas Exploration and Transportation"/>
    <x v="1"/>
    <x v="0"/>
    <n v="666753370"/>
    <n v="666753370"/>
    <s v="High Impact"/>
    <n v="-92.457991873233496"/>
    <x v="0"/>
    <n v="4"/>
    <n v="2742906750"/>
    <x v="0"/>
    <s v="A"/>
    <n v="666753370"/>
    <e v="#NAME?"/>
    <e v="#NAME?"/>
  </r>
  <r>
    <x v="3"/>
    <x v="0"/>
    <x v="0"/>
    <s v="Annual"/>
    <s v="TUR_DT_03"/>
    <s v="Support for Domestic Oil, Natural Gas and Coal Exploration"/>
    <x v="1"/>
    <x v="1"/>
    <n v="14705"/>
    <n v="14705"/>
    <s v="Low Impact"/>
    <n v="110.763938655582"/>
    <x v="0"/>
    <n v="4"/>
    <n v="64491.166666666599"/>
    <x v="0"/>
    <s v="A"/>
    <n v="14705"/>
    <e v="#NAME?"/>
    <e v="#NAME?"/>
  </r>
  <r>
    <x v="2"/>
    <x v="0"/>
    <x v="0"/>
    <s v="Annual"/>
    <s v="TUR_TE_21"/>
    <s v="R&amp;D Tax credits in Law No:5746 Article 3/A"/>
    <x v="0"/>
    <x v="0"/>
    <n v="174531"/>
    <n v="174531"/>
    <s v="Low Impact"/>
    <n v="10.515817735113"/>
    <x v="0"/>
    <n v="4"/>
    <n v="153547.625"/>
    <x v="1"/>
    <s v="A"/>
    <n v="174531"/>
    <e v="#NAME?"/>
    <e v="#NAME?"/>
  </r>
  <r>
    <x v="3"/>
    <x v="0"/>
    <x v="0"/>
    <s v="Annual"/>
    <s v="TUR_TE_02"/>
    <s v="Fuel Tax Exemption for Ships in Cabotage Lines"/>
    <x v="2"/>
    <x v="0"/>
    <n v="167977000"/>
    <n v="167977000"/>
    <s v="High Impact"/>
    <n v="-69.885585411153897"/>
    <x v="0"/>
    <n v="4"/>
    <n v="769230750"/>
    <x v="1"/>
    <s v="A"/>
    <n v="167977000"/>
    <e v="#NAME?"/>
    <e v="#NAME?"/>
  </r>
  <r>
    <x v="3"/>
    <x v="0"/>
    <x v="0"/>
    <s v="Annual"/>
    <s v="TUR_DT_03"/>
    <s v="Support for Domestic Oil, Natural Gas and Coal Exploration"/>
    <x v="1"/>
    <x v="1"/>
    <n v="6741"/>
    <n v="6741"/>
    <s v="Low Impact"/>
    <n v="-54.158449506970399"/>
    <x v="0"/>
    <n v="4"/>
    <n v="64491.166666666599"/>
    <x v="0"/>
    <s v="A"/>
    <n v="6741"/>
    <e v="#NAME?"/>
    <e v="#NAME?"/>
  </r>
  <r>
    <x v="3"/>
    <x v="0"/>
    <x v="0"/>
    <s v="Annual"/>
    <s v="TUR_TE_12"/>
    <s v="Fuel Tax Exemption for Naphta, Petroleum Coke and Petroleum Bitumen"/>
    <x v="2"/>
    <x v="0"/>
    <n v="1955556949"/>
    <n v="1955556949"/>
    <s v="High Impact"/>
    <n v="-55.7565708149152"/>
    <x v="0"/>
    <n v="4"/>
    <n v="2578410250"/>
    <x v="0"/>
    <s v="A"/>
    <n v="1955556949"/>
    <e v="#NAME?"/>
    <e v="#NAME?"/>
  </r>
  <r>
    <x v="3"/>
    <x v="0"/>
    <x v="0"/>
    <s v="Annual"/>
    <s v="TUR_TE_09"/>
    <s v="Fuel Tax Exemption for Fuel Oil and Diesel Used for Electricity Generation"/>
    <x v="1"/>
    <x v="0"/>
    <n v="703716490"/>
    <n v="703716490"/>
    <s v="High Impact"/>
    <m/>
    <x v="0"/>
    <n v="4"/>
    <n v="703716490"/>
    <x v="2"/>
    <s v="A"/>
    <n v="703716490"/>
    <e v="#NAME?"/>
    <e v="#NAME?"/>
  </r>
  <r>
    <x v="0"/>
    <x v="0"/>
    <x v="0"/>
    <s v="Annual"/>
    <s v="TUR_TE_12"/>
    <s v="Fuel Tax Exemption for Naphta, Petroleum Coke and Petroleum Bitumen"/>
    <x v="2"/>
    <x v="0"/>
    <n v="724232248"/>
    <n v="724232248"/>
    <s v="High Impact"/>
    <n v="-62.965422798331403"/>
    <x v="0"/>
    <n v="4"/>
    <n v="2578410250"/>
    <x v="0"/>
    <s v="A"/>
    <n v="724232248"/>
    <e v="#NAME?"/>
    <e v="#NAME?"/>
  </r>
  <r>
    <x v="1"/>
    <x v="0"/>
    <x v="0"/>
    <s v="Annual"/>
    <s v="TUR_TE_12"/>
    <s v="Fuel Tax Exemption for Naphta, Petroleum Coke and Petroleum Bitumen"/>
    <x v="2"/>
    <x v="0"/>
    <n v="906010346"/>
    <n v="906010346"/>
    <s v="High Impact"/>
    <n v="25.099420593599401"/>
    <x v="0"/>
    <n v="4"/>
    <n v="2578410250"/>
    <x v="0"/>
    <s v="A"/>
    <n v="906010346"/>
    <e v="#NAME?"/>
    <e v="#NAME?"/>
  </r>
  <r>
    <x v="2"/>
    <x v="0"/>
    <x v="0"/>
    <s v="Annual"/>
    <s v="TUR_TE_12"/>
    <s v="Fuel Tax Exemption for Naphta, Petroleum Coke and Petroleum Bitumen"/>
    <x v="2"/>
    <x v="0"/>
    <n v="1620024183"/>
    <n v="1620024183"/>
    <s v="High Impact"/>
    <n v="78.808574333874105"/>
    <x v="0"/>
    <n v="4"/>
    <n v="2578410250"/>
    <x v="0"/>
    <s v="A"/>
    <n v="1620024183"/>
    <e v="#NAME?"/>
    <e v="#NAME?"/>
  </r>
  <r>
    <x v="0"/>
    <x v="0"/>
    <x v="0"/>
    <s v="Annual"/>
    <s v="TUR_DT_07"/>
    <s v="Personal Income Tax exemption for underground workers"/>
    <x v="0"/>
    <x v="0"/>
    <n v="2100997"/>
    <n v="2100997"/>
    <s v="Medium Impact"/>
    <n v="-97.678889721551101"/>
    <x v="0"/>
    <n v="4"/>
    <n v="190634414.125"/>
    <x v="0"/>
    <s v="A"/>
    <n v="2100997"/>
    <e v="#NAME?"/>
    <e v="#NAME?"/>
  </r>
  <r>
    <x v="3"/>
    <x v="0"/>
    <x v="0"/>
    <s v="Annual"/>
    <s v="TUR_DT_02"/>
    <s v="Coal Aid to Poor Families (source: Treasury)"/>
    <x v="3"/>
    <x v="1"/>
    <n v="1468400000"/>
    <n v="1468400000"/>
    <s v="High Impact"/>
    <n v="20.855967078189298"/>
    <x v="0"/>
    <n v="4"/>
    <n v="1289654122.5"/>
    <x v="0"/>
    <s v="A"/>
    <n v="1468400000"/>
    <e v="#NAME?"/>
    <e v="#NAME?"/>
  </r>
  <r>
    <x v="3"/>
    <x v="0"/>
    <x v="0"/>
    <s v="Annual"/>
    <s v="TUR_DT_07"/>
    <s v="Personal Income Tax exemption for underground workers"/>
    <x v="0"/>
    <x v="0"/>
    <n v="4911513"/>
    <n v="4911513"/>
    <s v="Medium Impact"/>
    <n v="133.77058605985599"/>
    <x v="0"/>
    <n v="4"/>
    <n v="190634414.125"/>
    <x v="0"/>
    <s v="A"/>
    <n v="4911513"/>
    <e v="#NAME?"/>
    <e v="#NAME?"/>
  </r>
  <r>
    <x v="3"/>
    <x v="0"/>
    <x v="0"/>
    <s v="Annual"/>
    <s v="TUR_TE_04"/>
    <s v="Tax Exemption for Oil and Gas Exploration and Transportation"/>
    <x v="1"/>
    <x v="0"/>
    <n v="111013786"/>
    <n v="111013786"/>
    <s v="High Impact"/>
    <n v="-83.350097503069193"/>
    <x v="0"/>
    <n v="4"/>
    <n v="2742906750"/>
    <x v="0"/>
    <s v="A"/>
    <n v="111013786"/>
    <e v="#NAME?"/>
    <e v="#NAME?"/>
  </r>
  <r>
    <x v="3"/>
    <x v="0"/>
    <x v="0"/>
    <s v="Annual"/>
    <s v="TUR_DT_05"/>
    <s v="Construction of Coal Thermal Plants"/>
    <x v="3"/>
    <x v="1"/>
    <n v="703716490"/>
    <n v="703716490"/>
    <s v="High Impact"/>
    <m/>
    <x v="0"/>
    <n v="4"/>
    <n v="703716490"/>
    <x v="2"/>
    <s v="A"/>
    <n v="703716490"/>
    <e v="#NAME?"/>
    <e v="#NAME?"/>
  </r>
  <r>
    <x v="3"/>
    <x v="0"/>
    <x v="0"/>
    <s v="Annual"/>
    <s v="TUR_TE_06"/>
    <s v="Tax Exemption for LPG Consumption"/>
    <x v="0"/>
    <x v="0"/>
    <n v="703716490"/>
    <n v="703716490"/>
    <s v="High Impact"/>
    <m/>
    <x v="0"/>
    <n v="4"/>
    <n v="703716490"/>
    <x v="2"/>
    <s v="A"/>
    <n v="703716490"/>
    <e v="#NAME?"/>
    <e v="#NAME?"/>
  </r>
  <r>
    <x v="3"/>
    <x v="0"/>
    <x v="0"/>
    <s v="Annual"/>
    <s v="TUR_TE_12"/>
    <s v="Fuel Tax Exemption for Naphta, Petroleum Coke and Petroleum Bitumen"/>
    <x v="2"/>
    <x v="0"/>
    <n v="803740431"/>
    <n v="803740431"/>
    <s v="High Impact"/>
    <n v="-50.387133757990298"/>
    <x v="0"/>
    <n v="4"/>
    <n v="2578410250"/>
    <x v="0"/>
    <s v="A"/>
    <n v="803740431"/>
    <e v="#NAME?"/>
    <e v="#NAME?"/>
  </r>
  <r>
    <x v="3"/>
    <x v="0"/>
    <x v="0"/>
    <s v="Annual"/>
    <s v="TUR_TE_15"/>
    <s v="Corporate Income Tax Rate Reduction"/>
    <x v="0"/>
    <x v="0"/>
    <n v="148394102"/>
    <n v="148394102"/>
    <s v="High Impact"/>
    <n v="406.00849984851499"/>
    <x v="0"/>
    <n v="4"/>
    <n v="140908336.375"/>
    <x v="0"/>
    <s v="A"/>
    <n v="148394102"/>
    <e v="#NAME?"/>
    <e v="#NAME?"/>
  </r>
  <r>
    <x v="3"/>
    <x v="0"/>
    <x v="0"/>
    <s v="Annual"/>
    <s v="TUR_DT_03"/>
    <s v="Support for Domestic Oil, Natural Gas and Coal Exploration"/>
    <x v="1"/>
    <x v="1"/>
    <n v="270747"/>
    <n v="270747"/>
    <s v="Low Impact"/>
    <n v="3916.42189586114"/>
    <x v="0"/>
    <n v="4"/>
    <n v="64491.166666666599"/>
    <x v="0"/>
    <s v="A"/>
    <n v="270747"/>
    <e v="#NAME?"/>
    <e v="#NAME?"/>
  </r>
  <r>
    <x v="3"/>
    <x v="0"/>
    <x v="0"/>
    <s v="Annual"/>
    <s v="TUR_TE_18"/>
    <s v="Value Added Tax refund for building and construction expenses for the investments to be realized within the scope of investment incentive certificate"/>
    <x v="0"/>
    <x v="0"/>
    <n v="136502"/>
    <n v="136502"/>
    <s v="Low Impact"/>
    <n v="23.607287742683202"/>
    <x v="0"/>
    <n v="4"/>
    <n v="88658573"/>
    <x v="0"/>
    <s v="A"/>
    <n v="136502"/>
    <e v="#NAME?"/>
    <e v="#NAME?"/>
  </r>
  <r>
    <x v="3"/>
    <x v="0"/>
    <x v="0"/>
    <s v="Annual"/>
    <s v="TUR_DT_01"/>
    <s v="Aid to the Hard Coal Industry"/>
    <x v="3"/>
    <x v="1"/>
    <n v="806267499"/>
    <n v="806267499"/>
    <s v="High Impact"/>
    <n v="39.292298531409003"/>
    <x v="0"/>
    <n v="4"/>
    <n v="738429122.5"/>
    <x v="1"/>
    <s v="A"/>
    <n v="806267499"/>
    <e v="#NAME?"/>
    <e v="#NAME?"/>
  </r>
  <r>
    <x v="3"/>
    <x v="0"/>
    <x v="0"/>
    <s v="Annual"/>
    <s v="TUR_DT_05"/>
    <s v="Construction of Coal Thermal Plants"/>
    <x v="3"/>
    <x v="1"/>
    <n v="703716490"/>
    <n v="703716490"/>
    <s v="High Impact"/>
    <m/>
    <x v="0"/>
    <n v="4"/>
    <n v="703716490"/>
    <x v="2"/>
    <s v="A"/>
    <n v="703716490"/>
    <e v="#NAME?"/>
    <e v="#NAME?"/>
  </r>
  <r>
    <x v="3"/>
    <x v="0"/>
    <x v="0"/>
    <s v="Annual"/>
    <s v="TUR_DT_03"/>
    <s v="Support for Domestic Oil, Natural Gas and Coal Exploration"/>
    <x v="1"/>
    <x v="1"/>
    <n v="5800"/>
    <n v="5800"/>
    <s v="Low Impact"/>
    <n v="-97.857778664214194"/>
    <x v="0"/>
    <n v="4"/>
    <n v="64491.166666666599"/>
    <x v="0"/>
    <s v="A"/>
    <n v="5800"/>
    <e v="#NAME?"/>
    <e v="#NAME?"/>
  </r>
  <r>
    <x v="3"/>
    <x v="0"/>
    <x v="0"/>
    <s v="Annual"/>
    <s v="TUR_TE_19"/>
    <s v="R&amp;D Tax credits in Law No:5746 Article 3/1"/>
    <x v="0"/>
    <x v="0"/>
    <n v="1570406"/>
    <n v="1570406"/>
    <s v="Medium Impact"/>
    <n v="-36.065155968830602"/>
    <x v="0"/>
    <n v="4"/>
    <n v="2167758.375"/>
    <x v="0"/>
    <s v="A"/>
    <n v="1570406"/>
    <e v="#NAME?"/>
    <e v="#NAME?"/>
  </r>
  <r>
    <x v="2"/>
    <x v="0"/>
    <x v="0"/>
    <s v="Annual"/>
    <s v="TUR_DT_07"/>
    <s v="Personal Income Tax exemption for underground workers"/>
    <x v="0"/>
    <x v="0"/>
    <n v="2129252"/>
    <n v="2129252"/>
    <s v="Medium Impact"/>
    <n v="-56.647737672688599"/>
    <x v="0"/>
    <n v="4"/>
    <n v="190634414.125"/>
    <x v="0"/>
    <s v="A"/>
    <n v="2129252"/>
    <e v="#NAME?"/>
    <e v="#NAME?"/>
  </r>
  <r>
    <x v="3"/>
    <x v="0"/>
    <x v="0"/>
    <s v="Annual"/>
    <s v="TUR_TE_11"/>
    <s v="Fuel Tax Exemption for LPG Used in Ethylene Production"/>
    <x v="2"/>
    <x v="0"/>
    <n v="703716490"/>
    <n v="703716490"/>
    <s v="High Impact"/>
    <m/>
    <x v="0"/>
    <n v="4"/>
    <n v="703716490"/>
    <x v="2"/>
    <s v="A"/>
    <n v="703716490"/>
    <e v="#NAME?"/>
    <e v="#NAME?"/>
  </r>
  <r>
    <x v="2"/>
    <x v="0"/>
    <x v="0"/>
    <s v="Annual"/>
    <s v="TUR_DT_08"/>
    <s v="Strategic communication for increasing mining, domestic coal and  nuclear activities"/>
    <x v="0"/>
    <x v="1"/>
    <n v="537035"/>
    <n v="537035"/>
    <s v="Low Impact"/>
    <n v="-15.374251497005901"/>
    <x v="0"/>
    <n v="4"/>
    <n v="588445.5"/>
    <x v="1"/>
    <s v="A"/>
    <n v="537035"/>
    <e v="#NAME?"/>
    <e v="#NAME?"/>
  </r>
  <r>
    <x v="3"/>
    <x v="0"/>
    <x v="0"/>
    <s v="Annual"/>
    <s v="TUR_TE_14"/>
    <s v="Fuel Tax Exemption for LPG Used in Aerosol Production"/>
    <x v="2"/>
    <x v="0"/>
    <n v="6450000"/>
    <n v="6450000"/>
    <s v="Medium Impact"/>
    <n v="-89.943559200473899"/>
    <x v="0"/>
    <n v="4"/>
    <n v="74889250"/>
    <x v="1"/>
    <s v="A"/>
    <n v="6450000"/>
    <e v="#NAME?"/>
    <e v="#NAME?"/>
  </r>
  <r>
    <x v="2"/>
    <x v="0"/>
    <x v="0"/>
    <s v="Annual"/>
    <s v="TUR_TE_15"/>
    <s v="Corporate Income Tax Rate Reduction"/>
    <x v="0"/>
    <x v="0"/>
    <n v="30704000"/>
    <n v="30704000"/>
    <s v="Medium Impact"/>
    <n v="-79.309150710046396"/>
    <x v="0"/>
    <n v="4"/>
    <n v="140908336.375"/>
    <x v="0"/>
    <s v="A"/>
    <n v="30704000"/>
    <e v="#NAME?"/>
    <e v="#NAME?"/>
  </r>
  <r>
    <x v="3"/>
    <x v="0"/>
    <x v="0"/>
    <s v="Annual"/>
    <s v="TUR_TE_05"/>
    <s v="Tax Exemption for the Transportation and Distribution of Oil and Gas"/>
    <x v="1"/>
    <x v="0"/>
    <n v="703716490"/>
    <n v="703716490"/>
    <s v="High Impact"/>
    <m/>
    <x v="0"/>
    <n v="4"/>
    <n v="703716490"/>
    <x v="2"/>
    <s v="A"/>
    <n v="703716490"/>
    <e v="#NAME?"/>
    <e v="#NAME?"/>
  </r>
  <r>
    <x v="2"/>
    <x v="0"/>
    <x v="0"/>
    <s v="Annual"/>
    <s v="TUR_DT_03"/>
    <s v="Support for Domestic Oil, Natural Gas and Coal Exploration"/>
    <x v="1"/>
    <x v="1"/>
    <n v="62875"/>
    <n v="62875"/>
    <s v="Low Impact"/>
    <n v="984.05172413793002"/>
    <x v="0"/>
    <n v="4"/>
    <n v="64491.166666666599"/>
    <x v="0"/>
    <s v="A"/>
    <n v="62875"/>
    <e v="#NAME?"/>
    <e v="#NAME?"/>
  </r>
  <r>
    <x v="3"/>
    <x v="0"/>
    <x v="0"/>
    <s v="Annual"/>
    <s v="TUR_DT_09"/>
    <s v="Capacity mechanism payments for Natural Gas"/>
    <x v="4"/>
    <x v="1"/>
    <n v="1617969430"/>
    <n v="1617969430"/>
    <s v="High Impact"/>
    <n v="98.140417536871198"/>
    <x v="0"/>
    <n v="4"/>
    <n v="1391639889.75"/>
    <x v="0"/>
    <s v="A"/>
    <n v="1617969430"/>
    <e v="#NAME?"/>
    <e v="#NAME?"/>
  </r>
  <r>
    <x v="3"/>
    <x v="0"/>
    <x v="0"/>
    <s v="Annual"/>
    <s v="TUR_TE_17"/>
    <s v="Value Added Tax Exemption for Imported and/or Locally Provided Investment Machinery within the Scope of Incentive Certificates"/>
    <x v="0"/>
    <x v="0"/>
    <n v="29299108"/>
    <n v="29299108"/>
    <s v="Medium Impact"/>
    <n v="241.01880432606501"/>
    <x v="0"/>
    <n v="4"/>
    <n v="99912404.875"/>
    <x v="0"/>
    <s v="A"/>
    <n v="29299108"/>
    <e v="#NAME?"/>
    <e v="#NAME?"/>
  </r>
  <r>
    <x v="3"/>
    <x v="0"/>
    <x v="0"/>
    <s v="Annual"/>
    <s v="TUR_TE_05"/>
    <s v="Tax Exemption for the Transportation and Distribution of Oil and Gas"/>
    <x v="1"/>
    <x v="0"/>
    <n v="703716490"/>
    <n v="703716490"/>
    <s v="High Impact"/>
    <m/>
    <x v="0"/>
    <n v="4"/>
    <n v="703716490"/>
    <x v="2"/>
    <s v="A"/>
    <n v="703716490"/>
    <e v="#NAME?"/>
    <e v="#NAME?"/>
  </r>
  <r>
    <x v="3"/>
    <x v="0"/>
    <x v="0"/>
    <s v="Annual"/>
    <s v="TUR_TE_20"/>
    <s v="Personel Income Withholding Tax Support for R&amp;D personnel"/>
    <x v="0"/>
    <x v="0"/>
    <n v="356945"/>
    <n v="356945"/>
    <s v="Low Impact"/>
    <n v="-96.750048802303994"/>
    <x v="0"/>
    <n v="4"/>
    <n v="16440389.375"/>
    <x v="0"/>
    <s v="A"/>
    <n v="356945"/>
    <e v="#NAME?"/>
    <e v="#NAME?"/>
  </r>
  <r>
    <x v="3"/>
    <x v="0"/>
    <x v="0"/>
    <s v="Annual"/>
    <s v="TUR_TE_07"/>
    <s v="Fuel Tax Exemption for Domestic Commercial Aviation"/>
    <x v="2"/>
    <x v="0"/>
    <n v="3785303000"/>
    <n v="3785303000"/>
    <s v="High Impact"/>
    <n v="68.779233032245102"/>
    <x v="0"/>
    <n v="4"/>
    <n v="4078783500"/>
    <x v="0"/>
    <s v="A"/>
    <n v="3785303000"/>
    <e v="#NAME?"/>
    <e v="#NAME?"/>
  </r>
  <r>
    <x v="3"/>
    <x v="0"/>
    <x v="0"/>
    <s v="Annual"/>
    <s v="TUR_TE_05"/>
    <s v="Tax Exemption for the Transportation and Distribution of Oil and Gas"/>
    <x v="1"/>
    <x v="0"/>
    <n v="703716490"/>
    <n v="703716490"/>
    <s v="High Impact"/>
    <m/>
    <x v="0"/>
    <n v="4"/>
    <n v="703716490"/>
    <x v="2"/>
    <s v="A"/>
    <n v="703716490"/>
    <e v="#NAME?"/>
    <e v="#NAME?"/>
  </r>
  <r>
    <x v="3"/>
    <x v="0"/>
    <x v="0"/>
    <s v="Annual"/>
    <s v="TUR_DT_07"/>
    <s v="Personal Income Tax exemption for underground workers"/>
    <x v="0"/>
    <x v="0"/>
    <n v="20417350"/>
    <n v="20417350"/>
    <s v="Medium Impact"/>
    <n v="858.89777255111096"/>
    <x v="0"/>
    <n v="4"/>
    <n v="190634414.125"/>
    <x v="0"/>
    <s v="A"/>
    <n v="20417350"/>
    <e v="#NAME?"/>
    <e v="#NAME?"/>
  </r>
  <r>
    <x v="3"/>
    <x v="0"/>
    <x v="0"/>
    <s v="Annual"/>
    <s v="TUR_DT_09"/>
    <s v="Capacity mechanism payments for Natural Gas"/>
    <x v="4"/>
    <x v="1"/>
    <n v="1075093066"/>
    <n v="1075093066"/>
    <s v="High Impact"/>
    <n v="-33.552943209810799"/>
    <x v="0"/>
    <n v="4"/>
    <n v="1391639889.75"/>
    <x v="0"/>
    <s v="A"/>
    <n v="1075093066"/>
    <e v="#NAME?"/>
    <e v="#NAME?"/>
  </r>
  <r>
    <x v="3"/>
    <x v="0"/>
    <x v="0"/>
    <s v="Annual"/>
    <s v="TUR_DT_07"/>
    <s v="Personal Income Tax exemption for underground workers"/>
    <x v="0"/>
    <x v="0"/>
    <n v="2251683"/>
    <n v="2251683"/>
    <s v="Medium Impact"/>
    <n v="-88.971717681285696"/>
    <x v="0"/>
    <n v="4"/>
    <n v="190634414.125"/>
    <x v="0"/>
    <s v="A"/>
    <n v="2251683"/>
    <e v="#NAME?"/>
    <e v="#NAME?"/>
  </r>
  <r>
    <x v="3"/>
    <x v="0"/>
    <x v="0"/>
    <s v="Annual"/>
    <s v="TUR_TE_09"/>
    <s v="Fuel Tax Exemption for Fuel Oil and Diesel Used for Electricity Generation"/>
    <x v="1"/>
    <x v="0"/>
    <n v="703716490"/>
    <n v="703716490"/>
    <s v="High Impact"/>
    <m/>
    <x v="0"/>
    <n v="4"/>
    <n v="703716490"/>
    <x v="2"/>
    <s v="A"/>
    <n v="703716490"/>
    <e v="#NAME?"/>
    <e v="#NAME?"/>
  </r>
  <r>
    <x v="3"/>
    <x v="0"/>
    <x v="0"/>
    <s v="Annual"/>
    <s v="TUR_DT_01"/>
    <s v="Aid to the Hard Coal Industry"/>
    <x v="3"/>
    <x v="1"/>
    <n v="693732501"/>
    <n v="693732501"/>
    <s v="High Impact"/>
    <n v="-13.957526272555301"/>
    <x v="0"/>
    <n v="4"/>
    <n v="738429122.5"/>
    <x v="1"/>
    <s v="A"/>
    <n v="693732501"/>
    <e v="#NAME?"/>
    <e v="#NAME?"/>
  </r>
  <r>
    <x v="3"/>
    <x v="0"/>
    <x v="0"/>
    <s v="Annual"/>
    <s v="TUR_DT_03"/>
    <s v="Support for Domestic Oil, Natural Gas and Coal Exploration"/>
    <x v="1"/>
    <x v="1"/>
    <n v="5643"/>
    <n v="5643"/>
    <s v="Low Impact"/>
    <n v="-91.0250497017892"/>
    <x v="0"/>
    <n v="4"/>
    <n v="64491.166666666599"/>
    <x v="0"/>
    <s v="A"/>
    <n v="5643"/>
    <e v="#NAME?"/>
    <e v="#NAME?"/>
  </r>
  <r>
    <x v="3"/>
    <x v="0"/>
    <x v="0"/>
    <s v="Annual"/>
    <s v="TUR_TE_16"/>
    <s v="Personal Income Withholding Tax Support for Investments with Incentive Certificates"/>
    <x v="0"/>
    <x v="0"/>
    <n v="454438"/>
    <n v="454438"/>
    <s v="Low Impact"/>
    <n v="278.69833333333298"/>
    <x v="0"/>
    <n v="4"/>
    <n v="351976579.75"/>
    <x v="0"/>
    <s v="A"/>
    <n v="454438"/>
    <e v="#NAME?"/>
    <e v="#NAME?"/>
  </r>
  <r>
    <x v="2"/>
    <x v="0"/>
    <x v="0"/>
    <s v="Annual"/>
    <s v="TUR_TE_21"/>
    <s v="R&amp;D Tax credits in Law No:5746 Article 3/A"/>
    <x v="0"/>
    <x v="0"/>
    <n v="96962"/>
    <n v="96962"/>
    <s v="Low Impact"/>
    <n v="-44.444253456406003"/>
    <x v="0"/>
    <n v="4"/>
    <n v="153547.625"/>
    <x v="1"/>
    <s v="A"/>
    <n v="96962"/>
    <e v="#NAME?"/>
    <e v="#NAME?"/>
  </r>
  <r>
    <x v="3"/>
    <x v="0"/>
    <x v="0"/>
    <s v="Annual"/>
    <s v="TUR_TE_13"/>
    <s v="Fuel Tax Exemption for Diesel Blended with Domestically Sourced Biodiesel"/>
    <x v="2"/>
    <x v="0"/>
    <n v="53033000"/>
    <n v="53033000"/>
    <s v="Medium Impact"/>
    <n v="-69.102010615303001"/>
    <x v="0"/>
    <n v="4"/>
    <n v="156832250"/>
    <x v="1"/>
    <s v="A"/>
    <n v="53033000"/>
    <e v="#NAME?"/>
    <e v="#NAME?"/>
  </r>
  <r>
    <x v="1"/>
    <x v="0"/>
    <x v="0"/>
    <s v="Annual"/>
    <s v="TUR_DT_07"/>
    <s v="Personal Income Tax exemption for underground workers"/>
    <x v="0"/>
    <x v="0"/>
    <n v="703716490"/>
    <n v="703716490"/>
    <s v="High Impact"/>
    <n v="31152.911266816802"/>
    <x v="0"/>
    <n v="4"/>
    <n v="190634414.125"/>
    <x v="0"/>
    <s v="A"/>
    <n v="703716490"/>
    <e v="#NAME?"/>
    <e v="#NAME?"/>
  </r>
  <r>
    <x v="3"/>
    <x v="0"/>
    <x v="0"/>
    <s v="Annual"/>
    <s v="TUR_TE_10"/>
    <s v="Fuel Tax Exemption for Diesel Used by Export Vehicles"/>
    <x v="2"/>
    <x v="0"/>
    <n v="353431000"/>
    <n v="353431000"/>
    <s v="High Impact"/>
    <n v="-50.975344175885098"/>
    <x v="0"/>
    <n v="4"/>
    <n v="614407000"/>
    <x v="0"/>
    <s v="A"/>
    <n v="353431000"/>
    <e v="#NAME?"/>
    <e v="#NAME?"/>
  </r>
  <r>
    <x v="3"/>
    <x v="0"/>
    <x v="0"/>
    <s v="Annual"/>
    <s v="TUR_TE_19"/>
    <s v="R&amp;D Tax credits in Law No:5746 Article 3/1"/>
    <x v="0"/>
    <x v="0"/>
    <n v="1794750"/>
    <n v="1794750"/>
    <s v="Medium Impact"/>
    <n v="14.2857324793715"/>
    <x v="0"/>
    <n v="4"/>
    <n v="2167758.375"/>
    <x v="0"/>
    <s v="A"/>
    <n v="1794750"/>
    <e v="#NAME?"/>
    <e v="#NAME?"/>
  </r>
  <r>
    <x v="3"/>
    <x v="0"/>
    <x v="0"/>
    <s v="Annual"/>
    <s v="TUR_TE_08"/>
    <s v="Fuel Tax Exemption for Vehicles Used for National Security"/>
    <x v="2"/>
    <x v="0"/>
    <n v="703716490"/>
    <n v="703716490"/>
    <s v="High Impact"/>
    <m/>
    <x v="0"/>
    <n v="4"/>
    <n v="703716490"/>
    <x v="2"/>
    <s v="A"/>
    <n v="703716490"/>
    <e v="#NAME?"/>
    <e v="#NAME?"/>
  </r>
  <r>
    <x v="3"/>
    <x v="0"/>
    <x v="0"/>
    <s v="Annual"/>
    <s v="TUR_TE_12"/>
    <s v="Fuel Tax Exemption for Naphta, Petroleum Coke and Petroleum Bitumen"/>
    <x v="2"/>
    <x v="0"/>
    <n v="4673535620"/>
    <n v="4673535620"/>
    <s v="High Impact"/>
    <n v="481.47325177921698"/>
    <x v="0"/>
    <n v="4"/>
    <n v="2578410250"/>
    <x v="0"/>
    <s v="A"/>
    <n v="4673535620"/>
    <e v="#NAME?"/>
    <e v="#NAME?"/>
  </r>
  <r>
    <x v="3"/>
    <x v="0"/>
    <x v="0"/>
    <s v="Annual"/>
    <s v="TUR_TE_17"/>
    <s v="Value Added Tax Exemption for Imported and/or Locally Provided Investment Machinery within the Scope of Incentive Certificates"/>
    <x v="0"/>
    <x v="0"/>
    <n v="11427263"/>
    <n v="11427263"/>
    <s v="Medium Impact"/>
    <n v="-60.997915021849799"/>
    <x v="0"/>
    <n v="4"/>
    <n v="99912404.875"/>
    <x v="0"/>
    <s v="A"/>
    <n v="11427263"/>
    <e v="#NAME?"/>
    <e v="#NAME?"/>
  </r>
  <r>
    <x v="3"/>
    <x v="0"/>
    <x v="0"/>
    <s v="Annual"/>
    <s v="TUR_DT_05"/>
    <s v="Construction of Coal Thermal Plants"/>
    <x v="3"/>
    <x v="1"/>
    <n v="703716490"/>
    <n v="703716490"/>
    <s v="High Impact"/>
    <m/>
    <x v="0"/>
    <n v="4"/>
    <n v="703716490"/>
    <x v="2"/>
    <s v="A"/>
    <n v="703716490"/>
    <e v="#NAME?"/>
    <e v="#NAME?"/>
  </r>
  <r>
    <x v="3"/>
    <x v="0"/>
    <x v="0"/>
    <s v="Annual"/>
    <s v="TUR_TE_20"/>
    <s v="Personel Income Withholding Tax Support for R&amp;D personnel"/>
    <x v="0"/>
    <x v="0"/>
    <n v="17126873"/>
    <n v="17126873"/>
    <s v="Medium Impact"/>
    <n v="4698.1826331787797"/>
    <x v="0"/>
    <n v="4"/>
    <n v="16440389.375"/>
    <x v="0"/>
    <s v="A"/>
    <n v="17126873"/>
    <e v="#NAME?"/>
    <e v="#NAME?"/>
  </r>
  <r>
    <x v="3"/>
    <x v="0"/>
    <x v="0"/>
    <s v="Annual"/>
    <s v="TUR_TE_08"/>
    <s v="Fuel Tax Exemption for Vehicles Used for National Security"/>
    <x v="2"/>
    <x v="0"/>
    <n v="703716490"/>
    <n v="703716490"/>
    <s v="High Impact"/>
    <m/>
    <x v="0"/>
    <n v="4"/>
    <n v="703716490"/>
    <x v="2"/>
    <s v="A"/>
    <n v="703716490"/>
    <e v="#NAME?"/>
    <e v="#NAME?"/>
  </r>
  <r>
    <x v="3"/>
    <x v="0"/>
    <x v="0"/>
    <s v="Annual"/>
    <s v="TUR_DT_05"/>
    <s v="Construction of Coal Thermal Plants"/>
    <x v="3"/>
    <x v="1"/>
    <n v="703716490"/>
    <n v="703716490"/>
    <s v="High Impact"/>
    <m/>
    <x v="0"/>
    <n v="4"/>
    <n v="703716490"/>
    <x v="2"/>
    <s v="A"/>
    <n v="703716490"/>
    <e v="#NAME?"/>
    <e v="#NAME?"/>
  </r>
  <r>
    <x v="3"/>
    <x v="0"/>
    <x v="0"/>
    <s v="Annual"/>
    <s v="TUR_TE_16"/>
    <s v="Personal Income Withholding Tax Support for Investments with Incentive Certificates"/>
    <x v="0"/>
    <x v="0"/>
    <n v="177240"/>
    <n v="177240"/>
    <s v="Low Impact"/>
    <n v="-60.997979922453602"/>
    <x v="0"/>
    <n v="4"/>
    <n v="351976579.75"/>
    <x v="0"/>
    <s v="A"/>
    <n v="177240"/>
    <e v="#NAME?"/>
    <e v="#NAME?"/>
  </r>
  <r>
    <x v="3"/>
    <x v="0"/>
    <x v="0"/>
    <s v="Annual"/>
    <s v="TUR_TE_04"/>
    <s v="Tax Exemption for Oil and Gas Exploration and Transportation"/>
    <x v="1"/>
    <x v="0"/>
    <n v="1202636214"/>
    <n v="1202636214"/>
    <s v="High Impact"/>
    <n v="983.32150207002201"/>
    <x v="0"/>
    <n v="4"/>
    <n v="2742906750"/>
    <x v="0"/>
    <s v="A"/>
    <n v="1202636214"/>
    <e v="#NAME?"/>
    <e v="#NAME?"/>
  </r>
  <r>
    <x v="3"/>
    <x v="0"/>
    <x v="0"/>
    <s v="Annual"/>
    <s v="TUR_DT_03"/>
    <s v="Support for Domestic Oil, Natural Gas and Coal Exploration"/>
    <x v="1"/>
    <x v="1"/>
    <n v="61129"/>
    <n v="61129"/>
    <s v="Low Impact"/>
    <n v="983.27130958709904"/>
    <x v="0"/>
    <n v="4"/>
    <n v="64491.166666666599"/>
    <x v="0"/>
    <s v="A"/>
    <n v="61129"/>
    <e v="#NAME?"/>
    <e v="#NAME?"/>
  </r>
  <r>
    <x v="0"/>
    <x v="0"/>
    <x v="0"/>
    <s v="Annual"/>
    <s v="TUR_DT_03"/>
    <s v="Support for Domestic Oil, Natural Gas and Coal Exploration"/>
    <x v="1"/>
    <x v="1"/>
    <n v="72664"/>
    <n v="72664"/>
    <s v="Low Impact"/>
    <n v="18.8699308020743"/>
    <x v="0"/>
    <n v="4"/>
    <n v="64491.166666666599"/>
    <x v="0"/>
    <s v="A"/>
    <n v="72664"/>
    <e v="#NAME?"/>
    <e v="#NAME?"/>
  </r>
  <r>
    <x v="1"/>
    <x v="0"/>
    <x v="0"/>
    <s v="Annual"/>
    <s v="TUR_DT_03"/>
    <s v="Support for Domestic Oil, Natural Gas and Coal Exploration"/>
    <x v="1"/>
    <x v="1"/>
    <n v="76090"/>
    <n v="76090"/>
    <s v="Low Impact"/>
    <n v="4.7148519211714204"/>
    <x v="0"/>
    <n v="4"/>
    <n v="64491.166666666599"/>
    <x v="0"/>
    <s v="A"/>
    <n v="76090"/>
    <e v="#NAME?"/>
    <e v="#NAME?"/>
  </r>
  <r>
    <x v="0"/>
    <x v="0"/>
    <x v="0"/>
    <s v="Annual"/>
    <s v="TUR_DT_09"/>
    <s v="Capacity mechanism payments for Natural Gas"/>
    <x v="4"/>
    <x v="1"/>
    <n v="708695719"/>
    <n v="708695719"/>
    <s v="High Impact"/>
    <n v="-34.080523685565197"/>
    <x v="0"/>
    <n v="4"/>
    <n v="1391639889.75"/>
    <x v="0"/>
    <s v="A"/>
    <n v="708695719"/>
    <e v="#NAME?"/>
    <e v="#NAME?"/>
  </r>
  <r>
    <x v="1"/>
    <x v="0"/>
    <x v="0"/>
    <s v="Annual"/>
    <s v="TUR_DT_09"/>
    <s v="Capacity mechanism payments for Natural Gas"/>
    <x v="4"/>
    <x v="1"/>
    <n v="1176373280"/>
    <n v="1176373280"/>
    <s v="High Impact"/>
    <n v="65.991306065727699"/>
    <x v="0"/>
    <n v="4"/>
    <n v="1391639889.75"/>
    <x v="0"/>
    <s v="A"/>
    <n v="1176373280"/>
    <e v="#NAME?"/>
    <e v="#NAME?"/>
  </r>
  <r>
    <x v="2"/>
    <x v="0"/>
    <x v="0"/>
    <s v="Annual"/>
    <s v="TUR_DT_09"/>
    <s v="Capacity mechanism payments for Natural Gas"/>
    <x v="4"/>
    <x v="1"/>
    <n v="1228126477"/>
    <n v="1228126477"/>
    <s v="High Impact"/>
    <n v="4.3993856269839799"/>
    <x v="0"/>
    <n v="4"/>
    <n v="1391639889.75"/>
    <x v="0"/>
    <s v="A"/>
    <n v="1228126477"/>
    <e v="#NAME?"/>
    <e v="#NAME?"/>
  </r>
  <r>
    <x v="4"/>
    <x v="1"/>
    <x v="1"/>
    <m/>
    <m/>
    <m/>
    <x v="5"/>
    <x v="2"/>
    <m/>
    <m/>
    <m/>
    <m/>
    <x v="1"/>
    <m/>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9E9B95-9006-435B-A52A-279C3AE8507D}" name="PivotTable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S21:U26" firstHeaderRow="0" firstDataRow="1" firstDataCol="1"/>
  <pivotFields count="8">
    <pivotField axis="axisRow" showAll="0">
      <items count="6">
        <item x="0"/>
        <item x="1"/>
        <item x="2"/>
        <item x="3"/>
        <item h="1" x="4"/>
        <item t="default"/>
      </items>
    </pivotField>
    <pivotField showAll="0"/>
    <pivotField showAll="0"/>
    <pivotField showAll="0">
      <items count="7">
        <item x="0"/>
        <item x="3"/>
        <item x="2"/>
        <item x="1"/>
        <item x="4"/>
        <item h="1" x="5"/>
        <item t="default"/>
      </items>
    </pivotField>
    <pivotField showAll="0">
      <items count="4">
        <item x="0"/>
        <item x="1"/>
        <item h="1" x="2"/>
        <item t="default"/>
      </items>
    </pivotField>
    <pivotField dataField="1" showAll="0"/>
    <pivotField dataField="1" showAll="0"/>
    <pivotField showAll="0"/>
  </pivotFields>
  <rowFields count="1">
    <field x="0"/>
  </rowFields>
  <rowItems count="5">
    <i>
      <x/>
    </i>
    <i>
      <x v="1"/>
    </i>
    <i>
      <x v="2"/>
    </i>
    <i>
      <x v="3"/>
    </i>
    <i t="grand">
      <x/>
    </i>
  </rowItems>
  <colFields count="1">
    <field x="-2"/>
  </colFields>
  <colItems count="2">
    <i>
      <x/>
    </i>
    <i i="1">
      <x v="1"/>
    </i>
  </colItems>
  <dataFields count="2">
    <dataField name="Sum of Norminal TRY" fld="5" baseField="0" baseItem="0"/>
    <dataField name="Sum of Real 2023 TRY" fld="6" baseField="0" baseItem="0"/>
  </dataFields>
  <formats count="1">
    <format dxfId="13">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C7A25A-8E43-4332-BE09-524F118CF121}" name="PivotTable4"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0">
  <location ref="A106:AA111" firstHeaderRow="1" firstDataRow="2" firstDataCol="1"/>
  <pivotFields count="8">
    <pivotField axis="axisRow" showAll="0">
      <items count="6">
        <item x="0"/>
        <item x="1"/>
        <item x="2"/>
        <item x="3"/>
        <item h="1" x="4"/>
        <item t="default"/>
      </items>
    </pivotField>
    <pivotField axis="axisCol" showAll="0">
      <items count="28">
        <item x="0"/>
        <item x="2"/>
        <item x="20"/>
        <item x="3"/>
        <item x="14"/>
        <item x="19"/>
        <item x="1"/>
        <item x="12"/>
        <item x="22"/>
        <item x="23"/>
        <item x="21"/>
        <item x="7"/>
        <item x="13"/>
        <item x="8"/>
        <item x="6"/>
        <item x="10"/>
        <item x="11"/>
        <item x="5"/>
        <item x="9"/>
        <item x="4"/>
        <item x="15"/>
        <item x="24"/>
        <item x="25"/>
        <item x="17"/>
        <item x="16"/>
        <item x="18"/>
        <item x="26"/>
        <item t="default"/>
      </items>
    </pivotField>
    <pivotField showAll="0"/>
    <pivotField showAll="0">
      <items count="7">
        <item x="0"/>
        <item x="3"/>
        <item x="2"/>
        <item x="1"/>
        <item x="4"/>
        <item x="5"/>
        <item t="default"/>
      </items>
    </pivotField>
    <pivotField showAll="0"/>
    <pivotField showAll="0"/>
    <pivotField dataField="1" showAll="0"/>
    <pivotField showAll="0"/>
  </pivotFields>
  <rowFields count="1">
    <field x="0"/>
  </rowFields>
  <rowItems count="4">
    <i>
      <x/>
    </i>
    <i>
      <x v="1"/>
    </i>
    <i>
      <x v="2"/>
    </i>
    <i>
      <x v="3"/>
    </i>
  </rowItems>
  <colFields count="1">
    <field x="1"/>
  </colFields>
  <colItems count="26">
    <i>
      <x/>
    </i>
    <i>
      <x v="1"/>
    </i>
    <i>
      <x v="2"/>
    </i>
    <i>
      <x v="3"/>
    </i>
    <i>
      <x v="4"/>
    </i>
    <i>
      <x v="5"/>
    </i>
    <i>
      <x v="6"/>
    </i>
    <i>
      <x v="7"/>
    </i>
    <i>
      <x v="8"/>
    </i>
    <i>
      <x v="9"/>
    </i>
    <i>
      <x v="10"/>
    </i>
    <i>
      <x v="11"/>
    </i>
    <i>
      <x v="12"/>
    </i>
    <i>
      <x v="13"/>
    </i>
    <i>
      <x v="14"/>
    </i>
    <i>
      <x v="15"/>
    </i>
    <i>
      <x v="16"/>
    </i>
    <i>
      <x v="17"/>
    </i>
    <i>
      <x v="18"/>
    </i>
    <i>
      <x v="19"/>
    </i>
    <i>
      <x v="20"/>
    </i>
    <i>
      <x v="21"/>
    </i>
    <i>
      <x v="22"/>
    </i>
    <i>
      <x v="23"/>
    </i>
    <i>
      <x v="24"/>
    </i>
    <i>
      <x v="25"/>
    </i>
  </colItems>
  <dataFields count="1">
    <dataField name="Sum of Real 2023 TRY" fld="6" baseField="0" baseItem="0"/>
  </dataFields>
  <formats count="1">
    <format dxfId="16">
      <pivotArea outline="0" collapsedLevelsAreSubtotals="1" fieldPosition="0"/>
    </format>
  </formats>
  <chartFormats count="29">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2"/>
          </reference>
        </references>
      </pivotArea>
    </chartFormat>
    <chartFormat chart="9" format="3" series="1">
      <pivotArea type="data" outline="0" fieldPosition="0">
        <references count="2">
          <reference field="4294967294" count="1" selected="0">
            <x v="0"/>
          </reference>
          <reference field="1" count="1" selected="0">
            <x v="3"/>
          </reference>
        </references>
      </pivotArea>
    </chartFormat>
    <chartFormat chart="9" format="4" series="1">
      <pivotArea type="data" outline="0" fieldPosition="0">
        <references count="2">
          <reference field="4294967294" count="1" selected="0">
            <x v="0"/>
          </reference>
          <reference field="1" count="1" selected="0">
            <x v="4"/>
          </reference>
        </references>
      </pivotArea>
    </chartFormat>
    <chartFormat chart="9" format="5" series="1">
      <pivotArea type="data" outline="0" fieldPosition="0">
        <references count="2">
          <reference field="4294967294" count="1" selected="0">
            <x v="0"/>
          </reference>
          <reference field="1" count="1" selected="0">
            <x v="5"/>
          </reference>
        </references>
      </pivotArea>
    </chartFormat>
    <chartFormat chart="9" format="6" series="1">
      <pivotArea type="data" outline="0" fieldPosition="0">
        <references count="2">
          <reference field="4294967294" count="1" selected="0">
            <x v="0"/>
          </reference>
          <reference field="1" count="1" selected="0">
            <x v="6"/>
          </reference>
        </references>
      </pivotArea>
    </chartFormat>
    <chartFormat chart="9" format="7" series="1">
      <pivotArea type="data" outline="0" fieldPosition="0">
        <references count="2">
          <reference field="4294967294" count="1" selected="0">
            <x v="0"/>
          </reference>
          <reference field="1" count="1" selected="0">
            <x v="7"/>
          </reference>
        </references>
      </pivotArea>
    </chartFormat>
    <chartFormat chart="9" format="8" series="1">
      <pivotArea type="data" outline="0" fieldPosition="0">
        <references count="2">
          <reference field="4294967294" count="1" selected="0">
            <x v="0"/>
          </reference>
          <reference field="1" count="1" selected="0">
            <x v="8"/>
          </reference>
        </references>
      </pivotArea>
    </chartFormat>
    <chartFormat chart="9" format="9" series="1">
      <pivotArea type="data" outline="0" fieldPosition="0">
        <references count="2">
          <reference field="4294967294" count="1" selected="0">
            <x v="0"/>
          </reference>
          <reference field="1" count="1" selected="0">
            <x v="9"/>
          </reference>
        </references>
      </pivotArea>
    </chartFormat>
    <chartFormat chart="9" format="10" series="1">
      <pivotArea type="data" outline="0" fieldPosition="0">
        <references count="2">
          <reference field="4294967294" count="1" selected="0">
            <x v="0"/>
          </reference>
          <reference field="1" count="1" selected="0">
            <x v="10"/>
          </reference>
        </references>
      </pivotArea>
    </chartFormat>
    <chartFormat chart="9" format="11" series="1">
      <pivotArea type="data" outline="0" fieldPosition="0">
        <references count="2">
          <reference field="4294967294" count="1" selected="0">
            <x v="0"/>
          </reference>
          <reference field="1" count="1" selected="0">
            <x v="11"/>
          </reference>
        </references>
      </pivotArea>
    </chartFormat>
    <chartFormat chart="9" format="12" series="1">
      <pivotArea type="data" outline="0" fieldPosition="0">
        <references count="2">
          <reference field="4294967294" count="1" selected="0">
            <x v="0"/>
          </reference>
          <reference field="1" count="1" selected="0">
            <x v="12"/>
          </reference>
        </references>
      </pivotArea>
    </chartFormat>
    <chartFormat chart="9" format="13" series="1">
      <pivotArea type="data" outline="0" fieldPosition="0">
        <references count="2">
          <reference field="4294967294" count="1" selected="0">
            <x v="0"/>
          </reference>
          <reference field="1" count="1" selected="0">
            <x v="13"/>
          </reference>
        </references>
      </pivotArea>
    </chartFormat>
    <chartFormat chart="9" format="14" series="1">
      <pivotArea type="data" outline="0" fieldPosition="0">
        <references count="2">
          <reference field="4294967294" count="1" selected="0">
            <x v="0"/>
          </reference>
          <reference field="1" count="1" selected="0">
            <x v="14"/>
          </reference>
        </references>
      </pivotArea>
    </chartFormat>
    <chartFormat chart="9" format="15" series="1">
      <pivotArea type="data" outline="0" fieldPosition="0">
        <references count="2">
          <reference field="4294967294" count="1" selected="0">
            <x v="0"/>
          </reference>
          <reference field="1" count="1" selected="0">
            <x v="15"/>
          </reference>
        </references>
      </pivotArea>
    </chartFormat>
    <chartFormat chart="9" format="16" series="1">
      <pivotArea type="data" outline="0" fieldPosition="0">
        <references count="2">
          <reference field="4294967294" count="1" selected="0">
            <x v="0"/>
          </reference>
          <reference field="1" count="1" selected="0">
            <x v="16"/>
          </reference>
        </references>
      </pivotArea>
    </chartFormat>
    <chartFormat chart="9" format="17" series="1">
      <pivotArea type="data" outline="0" fieldPosition="0">
        <references count="2">
          <reference field="4294967294" count="1" selected="0">
            <x v="0"/>
          </reference>
          <reference field="1" count="1" selected="0">
            <x v="17"/>
          </reference>
        </references>
      </pivotArea>
    </chartFormat>
    <chartFormat chart="9" format="18" series="1">
      <pivotArea type="data" outline="0" fieldPosition="0">
        <references count="2">
          <reference field="4294967294" count="1" selected="0">
            <x v="0"/>
          </reference>
          <reference field="1" count="1" selected="0">
            <x v="18"/>
          </reference>
        </references>
      </pivotArea>
    </chartFormat>
    <chartFormat chart="9" format="19" series="1">
      <pivotArea type="data" outline="0" fieldPosition="0">
        <references count="2">
          <reference field="4294967294" count="1" selected="0">
            <x v="0"/>
          </reference>
          <reference field="1" count="1" selected="0">
            <x v="19"/>
          </reference>
        </references>
      </pivotArea>
    </chartFormat>
    <chartFormat chart="9" format="20" series="1">
      <pivotArea type="data" outline="0" fieldPosition="0">
        <references count="2">
          <reference field="4294967294" count="1" selected="0">
            <x v="0"/>
          </reference>
          <reference field="1" count="1" selected="0">
            <x v="20"/>
          </reference>
        </references>
      </pivotArea>
    </chartFormat>
    <chartFormat chart="9" format="21" series="1">
      <pivotArea type="data" outline="0" fieldPosition="0">
        <references count="2">
          <reference field="4294967294" count="1" selected="0">
            <x v="0"/>
          </reference>
          <reference field="1" count="1" selected="0">
            <x v="21"/>
          </reference>
        </references>
      </pivotArea>
    </chartFormat>
    <chartFormat chart="9" format="22" series="1">
      <pivotArea type="data" outline="0" fieldPosition="0">
        <references count="2">
          <reference field="4294967294" count="1" selected="0">
            <x v="0"/>
          </reference>
          <reference field="1" count="1" selected="0">
            <x v="22"/>
          </reference>
        </references>
      </pivotArea>
    </chartFormat>
    <chartFormat chart="9" format="23" series="1">
      <pivotArea type="data" outline="0" fieldPosition="0">
        <references count="2">
          <reference field="4294967294" count="1" selected="0">
            <x v="0"/>
          </reference>
          <reference field="1" count="1" selected="0">
            <x v="23"/>
          </reference>
        </references>
      </pivotArea>
    </chartFormat>
    <chartFormat chart="9" format="24" series="1">
      <pivotArea type="data" outline="0" fieldPosition="0">
        <references count="2">
          <reference field="4294967294" count="1" selected="0">
            <x v="0"/>
          </reference>
          <reference field="1" count="1" selected="0">
            <x v="24"/>
          </reference>
        </references>
      </pivotArea>
    </chartFormat>
    <chartFormat chart="9" format="25" series="1">
      <pivotArea type="data" outline="0" fieldPosition="0">
        <references count="2">
          <reference field="4294967294" count="1" selected="0">
            <x v="0"/>
          </reference>
          <reference field="1" count="1" selected="0">
            <x v="25"/>
          </reference>
        </references>
      </pivotArea>
    </chartFormat>
    <chartFormat chart="9" format="26">
      <pivotArea type="data" outline="0" fieldPosition="0">
        <references count="3">
          <reference field="4294967294" count="1" selected="0">
            <x v="0"/>
          </reference>
          <reference field="0" count="1" selected="0">
            <x v="1"/>
          </reference>
          <reference field="1" count="1" selected="0">
            <x v="15"/>
          </reference>
        </references>
      </pivotArea>
    </chartFormat>
    <chartFormat chart="9" format="27">
      <pivotArea type="data" outline="0" fieldPosition="0">
        <references count="3">
          <reference field="4294967294" count="1" selected="0">
            <x v="0"/>
          </reference>
          <reference field="0" count="1" selected="0">
            <x v="2"/>
          </reference>
          <reference field="1" count="1" selected="0">
            <x v="15"/>
          </reference>
        </references>
      </pivotArea>
    </chartFormat>
    <chartFormat chart="9" format="28">
      <pivotArea type="data" outline="0" fieldPosition="0">
        <references count="3">
          <reference field="4294967294" count="1" selected="0">
            <x v="0"/>
          </reference>
          <reference field="0" count="1" selected="0">
            <x v="3"/>
          </reference>
          <reference field="1"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F807A2-5945-4F2C-9091-987555CD31A6}" name="PivotTable1"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A74:F79" firstHeaderRow="1" firstDataRow="2" firstDataCol="1"/>
  <pivotFields count="8">
    <pivotField axis="axisRow" showAll="0">
      <items count="6">
        <item x="0"/>
        <item x="1"/>
        <item x="2"/>
        <item x="3"/>
        <item h="1" x="4"/>
        <item t="default"/>
      </items>
    </pivotField>
    <pivotField showAll="0"/>
    <pivotField showAll="0"/>
    <pivotField axis="axisCol" showAll="0">
      <items count="7">
        <item x="0"/>
        <item x="3"/>
        <item x="2"/>
        <item x="1"/>
        <item x="4"/>
        <item x="5"/>
        <item t="default"/>
      </items>
    </pivotField>
    <pivotField showAll="0"/>
    <pivotField showAll="0"/>
    <pivotField dataField="1" showAll="0"/>
    <pivotField showAll="0"/>
  </pivotFields>
  <rowFields count="1">
    <field x="0"/>
  </rowFields>
  <rowItems count="4">
    <i>
      <x/>
    </i>
    <i>
      <x v="1"/>
    </i>
    <i>
      <x v="2"/>
    </i>
    <i>
      <x v="3"/>
    </i>
  </rowItems>
  <colFields count="1">
    <field x="3"/>
  </colFields>
  <colItems count="5">
    <i>
      <x/>
    </i>
    <i>
      <x v="1"/>
    </i>
    <i>
      <x v="2"/>
    </i>
    <i>
      <x v="3"/>
    </i>
    <i>
      <x v="4"/>
    </i>
  </colItems>
  <dataFields count="1">
    <dataField name="Sum of Real 2023 TRY" fld="6" baseField="0" baseItem="0"/>
  </dataFields>
  <formats count="1">
    <format dxfId="17">
      <pivotArea outline="0" collapsedLevelsAreSubtotals="1" fieldPosition="0"/>
    </format>
  </formats>
  <chartFormats count="5">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2"/>
          </reference>
        </references>
      </pivotArea>
    </chartFormat>
    <chartFormat chart="8"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A5FA0A-BFC4-4297-92B5-0A931ADAAFB0}" name="PivotTable12"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location ref="A59:B61" firstHeaderRow="1" firstDataRow="1" firstDataCol="1"/>
  <pivotFields count="8">
    <pivotField showAll="0">
      <items count="5">
        <item x="0"/>
        <item x="1"/>
        <item x="2"/>
        <item x="3"/>
        <item t="default"/>
      </items>
    </pivotField>
    <pivotField showAll="0"/>
    <pivotField showAll="0"/>
    <pivotField showAll="0">
      <items count="6">
        <item x="0"/>
        <item x="3"/>
        <item x="2"/>
        <item x="1"/>
        <item x="4"/>
        <item t="default"/>
      </items>
    </pivotField>
    <pivotField axis="axisRow" showAll="0">
      <items count="3">
        <item x="0"/>
        <item x="1"/>
        <item t="default"/>
      </items>
    </pivotField>
    <pivotField dataField="1" showAll="0"/>
    <pivotField showAll="0"/>
    <pivotField showAll="0"/>
  </pivotFields>
  <rowFields count="1">
    <field x="4"/>
  </rowFields>
  <rowItems count="2">
    <i>
      <x/>
    </i>
    <i>
      <x v="1"/>
    </i>
  </rowItems>
  <colItems count="1">
    <i/>
  </colItems>
  <dataFields count="1">
    <dataField name="Count of Norminal TRY" fld="5" subtotal="count" showDataAs="percentOfTotal" baseField="0" baseItem="0" numFmtId="10"/>
  </dataFields>
  <formats count="4">
    <format dxfId="34">
      <pivotArea outline="0" collapsedLevelsAreSubtotals="1" fieldPosition="0"/>
    </format>
    <format dxfId="21">
      <pivotArea outline="0" fieldPosition="0">
        <references count="1">
          <reference field="4294967294" count="1">
            <x v="0"/>
          </reference>
        </references>
      </pivotArea>
    </format>
    <format dxfId="20">
      <pivotArea collapsedLevelsAreSubtotals="1" fieldPosition="0">
        <references count="1">
          <reference field="4" count="1">
            <x v="0"/>
          </reference>
        </references>
      </pivotArea>
    </format>
    <format dxfId="19">
      <pivotArea collapsedLevelsAreSubtotals="1" fieldPosition="0">
        <references count="1">
          <reference field="4"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B24225-0660-4DAA-8F7B-0C0222284D9D}"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40:B43" firstHeaderRow="1" firstDataRow="1" firstDataCol="1"/>
  <pivotFields count="8">
    <pivotField showAll="0">
      <items count="6">
        <item x="0"/>
        <item x="1"/>
        <item x="2"/>
        <item x="3"/>
        <item h="1" x="4"/>
        <item t="default"/>
      </items>
    </pivotField>
    <pivotField showAll="0"/>
    <pivotField showAll="0"/>
    <pivotField showAll="0"/>
    <pivotField axis="axisRow" showAll="0" sortType="descending">
      <items count="4">
        <item x="0"/>
        <item x="1"/>
        <item h="1"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s>
  <rowFields count="1">
    <field x="4"/>
  </rowFields>
  <rowItems count="3">
    <i>
      <x v="1"/>
    </i>
    <i>
      <x/>
    </i>
    <i t="grand">
      <x/>
    </i>
  </rowItems>
  <colItems count="1">
    <i/>
  </colItems>
  <dataFields count="1">
    <dataField name="Sum of Real 2023 TRY" fld="6" showDataAs="percentOfTotal" baseField="0" baseItem="0" numFmtId="10"/>
  </dataFields>
  <formats count="2">
    <format dxfId="22">
      <pivotArea outline="0" collapsedLevelsAreSubtotals="1" fieldPosition="0"/>
    </format>
    <format dxfId="18">
      <pivotArea outline="0" fieldPosition="0">
        <references count="1">
          <reference field="4294967294" count="1">
            <x v="0"/>
          </reference>
        </references>
      </pivotArea>
    </format>
  </formats>
  <chartFormats count="6">
    <chartFormat chart="9" format="1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4" count="1" selected="0">
            <x v="1"/>
          </reference>
        </references>
      </pivotArea>
    </chartFormat>
    <chartFormat chart="12" format="2">
      <pivotArea type="data" outline="0" fieldPosition="0">
        <references count="2">
          <reference field="4294967294" count="1" selected="0">
            <x v="0"/>
          </reference>
          <reference field="4" count="1" selected="0">
            <x v="0"/>
          </reference>
        </references>
      </pivotArea>
    </chartFormat>
    <chartFormat chart="9" format="13">
      <pivotArea type="data" outline="0" fieldPosition="0">
        <references count="2">
          <reference field="4294967294" count="1" selected="0">
            <x v="0"/>
          </reference>
          <reference field="4" count="1" selected="0">
            <x v="1"/>
          </reference>
        </references>
      </pivotArea>
    </chartFormat>
    <chartFormat chart="9" format="1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FFED48-551B-4C0C-976D-F6A657D2EED5}"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19:C25" firstHeaderRow="0" firstDataRow="1" firstDataCol="1"/>
  <pivotFields count="8">
    <pivotField showAll="0">
      <items count="6">
        <item x="0"/>
        <item x="1"/>
        <item x="2"/>
        <item x="3"/>
        <item h="1" x="4"/>
        <item t="default"/>
      </items>
    </pivotField>
    <pivotField showAll="0"/>
    <pivotField showAll="0"/>
    <pivotField axis="axisRow" showAll="0" sortType="descending">
      <items count="7">
        <item x="0"/>
        <item x="3"/>
        <item x="2"/>
        <item x="1"/>
        <item x="4"/>
        <item h="1" x="5"/>
        <item t="default"/>
      </items>
      <autoSortScope>
        <pivotArea dataOnly="0" outline="0" fieldPosition="0">
          <references count="1">
            <reference field="4294967294" count="1" selected="0">
              <x v="0"/>
            </reference>
          </references>
        </pivotArea>
      </autoSortScope>
    </pivotField>
    <pivotField showAll="0">
      <items count="4">
        <item x="0"/>
        <item x="1"/>
        <item h="1" x="2"/>
        <item t="default"/>
      </items>
    </pivotField>
    <pivotField dataField="1" showAll="0"/>
    <pivotField dataField="1" showAll="0"/>
    <pivotField showAll="0"/>
  </pivotFields>
  <rowFields count="1">
    <field x="3"/>
  </rowFields>
  <rowItems count="6">
    <i>
      <x v="1"/>
    </i>
    <i>
      <x v="4"/>
    </i>
    <i>
      <x/>
    </i>
    <i>
      <x v="3"/>
    </i>
    <i>
      <x v="2"/>
    </i>
    <i t="grand">
      <x/>
    </i>
  </rowItems>
  <colFields count="1">
    <field x="-2"/>
  </colFields>
  <colItems count="2">
    <i>
      <x/>
    </i>
    <i i="1">
      <x v="1"/>
    </i>
  </colItems>
  <dataFields count="2">
    <dataField name="Sum of Real 2023 TRY" fld="6" baseField="0" baseItem="0"/>
    <dataField name="Sum of Norminal TRY" fld="5" baseField="0" baseItem="0"/>
  </dataFields>
  <formats count="2">
    <format dxfId="14">
      <pivotArea dataOnly="0" labelOnly="1" outline="0" fieldPosition="0">
        <references count="1">
          <reference field="4294967294" count="2">
            <x v="0"/>
            <x v="1"/>
          </reference>
        </references>
      </pivotArea>
    </format>
    <format dxfId="15">
      <pivotArea outline="0" collapsedLevelsAreSubtotals="1" fieldPosition="0"/>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6B142F-FDE9-49FA-AC6D-97509ABB3640}"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C8" firstHeaderRow="0" firstDataRow="1" firstDataCol="1"/>
  <pivotFields count="8">
    <pivotField axis="axisRow" showAll="0">
      <items count="6">
        <item x="0"/>
        <item x="1"/>
        <item x="2"/>
        <item x="3"/>
        <item h="1" x="4"/>
        <item t="default"/>
      </items>
    </pivotField>
    <pivotField showAll="0"/>
    <pivotField showAll="0"/>
    <pivotField showAll="0"/>
    <pivotField showAll="0"/>
    <pivotField dataField="1" showAll="0"/>
    <pivotField dataField="1" showAll="0"/>
    <pivotField showAll="0"/>
  </pivotFields>
  <rowFields count="1">
    <field x="0"/>
  </rowFields>
  <rowItems count="5">
    <i>
      <x/>
    </i>
    <i>
      <x v="1"/>
    </i>
    <i>
      <x v="2"/>
    </i>
    <i>
      <x v="3"/>
    </i>
    <i t="grand">
      <x/>
    </i>
  </rowItems>
  <colFields count="1">
    <field x="-2"/>
  </colFields>
  <colItems count="2">
    <i>
      <x/>
    </i>
    <i i="1">
      <x v="1"/>
    </i>
  </colItems>
  <dataFields count="2">
    <dataField name="Sum of Norminal TRY" fld="5" baseField="0" baseItem="0" numFmtId="166"/>
    <dataField name="Sum of Real 2023 TRY" fld="6" baseField="0" baseItem="0"/>
  </dataFields>
  <formats count="8">
    <format dxfId="23">
      <pivotArea collapsedLevelsAreSubtotals="1" fieldPosition="0">
        <references count="2">
          <reference field="4294967294" count="1" selected="0">
            <x v="0"/>
          </reference>
          <reference field="0" count="1">
            <x v="0"/>
          </reference>
        </references>
      </pivotArea>
    </format>
    <format dxfId="24">
      <pivotArea outline="0" fieldPosition="0">
        <references count="1">
          <reference field="4294967294" count="1">
            <x v="0"/>
          </reference>
        </references>
      </pivotArea>
    </format>
    <format dxfId="25">
      <pivotArea collapsedLevelsAreSubtotals="1" fieldPosition="0">
        <references count="2">
          <reference field="4294967294" count="1" selected="0">
            <x v="1"/>
          </reference>
          <reference field="0" count="1">
            <x v="0"/>
          </reference>
        </references>
      </pivotArea>
    </format>
    <format dxfId="26">
      <pivotArea collapsedLevelsAreSubtotals="1" fieldPosition="0">
        <references count="2">
          <reference field="4294967294" count="1" selected="0">
            <x v="1"/>
          </reference>
          <reference field="0" count="1">
            <x v="1"/>
          </reference>
        </references>
      </pivotArea>
    </format>
    <format dxfId="27">
      <pivotArea collapsedLevelsAreSubtotals="1" fieldPosition="0">
        <references count="2">
          <reference field="4294967294" count="1" selected="0">
            <x v="1"/>
          </reference>
          <reference field="0" count="1">
            <x v="2"/>
          </reference>
        </references>
      </pivotArea>
    </format>
    <format dxfId="28">
      <pivotArea collapsedLevelsAreSubtotals="1" fieldPosition="0">
        <references count="2">
          <reference field="4294967294" count="1" selected="0">
            <x v="1"/>
          </reference>
          <reference field="0" count="1">
            <x v="3"/>
          </reference>
        </references>
      </pivotArea>
    </format>
    <format dxfId="29">
      <pivotArea field="0" grandRow="1" outline="0" collapsedLevelsAreSubtotals="1" axis="axisRow" fieldPosition="0">
        <references count="1">
          <reference field="4294967294" count="1" selected="0">
            <x v="1"/>
          </reference>
        </references>
      </pivotArea>
    </format>
    <format dxfId="30">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C26912-60C1-4572-9333-00EDF14FB78A}" name="PivotTable13"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P6:Q32" firstHeaderRow="1" firstDataRow="1" firstDataCol="1"/>
  <pivotFields count="8">
    <pivotField showAll="0">
      <items count="6">
        <item x="0"/>
        <item x="1"/>
        <item x="2"/>
        <item x="3"/>
        <item h="1" x="4"/>
        <item t="default"/>
      </items>
    </pivotField>
    <pivotField axis="axisRow" showAll="0" sortType="descending">
      <items count="28">
        <item x="0"/>
        <item x="2"/>
        <item x="20"/>
        <item x="3"/>
        <item x="14"/>
        <item x="19"/>
        <item x="1"/>
        <item x="12"/>
        <item x="22"/>
        <item x="23"/>
        <item x="21"/>
        <item x="7"/>
        <item x="13"/>
        <item x="8"/>
        <item x="6"/>
        <item x="10"/>
        <item x="11"/>
        <item x="5"/>
        <item x="9"/>
        <item x="4"/>
        <item x="15"/>
        <item x="24"/>
        <item x="25"/>
        <item x="17"/>
        <item x="16"/>
        <item x="18"/>
        <item h="1"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
  </rowFields>
  <rowItems count="26">
    <i>
      <x v="16"/>
    </i>
    <i>
      <x v="8"/>
    </i>
    <i>
      <x v="11"/>
    </i>
    <i>
      <x v="3"/>
    </i>
    <i>
      <x v="6"/>
    </i>
    <i>
      <x v="9"/>
    </i>
    <i>
      <x v="12"/>
    </i>
    <i>
      <x/>
    </i>
    <i>
      <x v="13"/>
    </i>
    <i>
      <x v="1"/>
    </i>
    <i>
      <x v="10"/>
    </i>
    <i>
      <x v="15"/>
    </i>
    <i>
      <x v="4"/>
    </i>
    <i>
      <x v="7"/>
    </i>
    <i>
      <x v="14"/>
    </i>
    <i>
      <x v="20"/>
    </i>
    <i>
      <x v="19"/>
    </i>
    <i>
      <x v="17"/>
    </i>
    <i>
      <x v="21"/>
    </i>
    <i>
      <x v="22"/>
    </i>
    <i>
      <x v="18"/>
    </i>
    <i>
      <x v="24"/>
    </i>
    <i>
      <x v="23"/>
    </i>
    <i>
      <x v="5"/>
    </i>
    <i>
      <x v="2"/>
    </i>
    <i>
      <x v="25"/>
    </i>
  </rowItems>
  <colItems count="1">
    <i/>
  </colItems>
  <dataFields count="1">
    <dataField name="Sum of Real 2023 TRY" fld="6" showDataAs="percentOfTotal" baseField="0" baseItem="0" numFmtId="10"/>
  </dataFields>
  <formats count="6">
    <format dxfId="9">
      <pivotArea outline="0" collapsedLevelsAreSubtotals="1" fieldPosition="0"/>
    </format>
    <format dxfId="10">
      <pivotArea outline="0" fieldPosition="0">
        <references count="1">
          <reference field="4294967294" count="1">
            <x v="0"/>
          </reference>
        </references>
      </pivotArea>
    </format>
    <format dxfId="8">
      <pivotArea collapsedLevelsAreSubtotals="1" fieldPosition="0">
        <references count="1">
          <reference field="1" count="1">
            <x v="25"/>
          </reference>
        </references>
      </pivotArea>
    </format>
    <format dxfId="7">
      <pivotArea collapsedLevelsAreSubtotals="1" fieldPosition="0">
        <references count="1">
          <reference field="1" count="1">
            <x v="2"/>
          </reference>
        </references>
      </pivotArea>
    </format>
    <format dxfId="6">
      <pivotArea collapsedLevelsAreSubtotals="1" fieldPosition="0">
        <references count="1">
          <reference field="1" count="1">
            <x v="5"/>
          </reference>
        </references>
      </pivotArea>
    </format>
    <format dxfId="5">
      <pivotArea collapsedLevelsAreSubtotals="1" fieldPosition="0">
        <references count="1">
          <reference field="1" count="23">
            <x v="0"/>
            <x v="1"/>
            <x v="3"/>
            <x v="4"/>
            <x v="6"/>
            <x v="7"/>
            <x v="8"/>
            <x v="9"/>
            <x v="10"/>
            <x v="11"/>
            <x v="12"/>
            <x v="13"/>
            <x v="14"/>
            <x v="15"/>
            <x v="16"/>
            <x v="17"/>
            <x v="18"/>
            <x v="19"/>
            <x v="20"/>
            <x v="21"/>
            <x v="22"/>
            <x v="23"/>
            <x v="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F56BB9-840D-424B-8213-CACEBE1511E9}" name="PivotTable12" cacheId="5"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location ref="K6:L32" firstHeaderRow="1" firstDataRow="1" firstDataCol="1"/>
  <pivotFields count="8">
    <pivotField showAll="0">
      <items count="6">
        <item x="0"/>
        <item x="1"/>
        <item x="2"/>
        <item x="3"/>
        <item h="1" x="4"/>
        <item t="default"/>
      </items>
    </pivotField>
    <pivotField axis="axisRow" showAll="0" sortType="descending">
      <items count="28">
        <item x="0"/>
        <item x="2"/>
        <item x="20"/>
        <item x="3"/>
        <item x="14"/>
        <item x="19"/>
        <item x="1"/>
        <item x="12"/>
        <item x="22"/>
        <item x="23"/>
        <item x="21"/>
        <item x="7"/>
        <item x="13"/>
        <item x="8"/>
        <item x="6"/>
        <item x="10"/>
        <item x="11"/>
        <item x="5"/>
        <item x="9"/>
        <item x="4"/>
        <item x="15"/>
        <item x="24"/>
        <item x="25"/>
        <item x="17"/>
        <item x="16"/>
        <item x="18"/>
        <item h="1"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
  </rowFields>
  <rowItems count="26">
    <i>
      <x v="16"/>
    </i>
    <i>
      <x v="8"/>
    </i>
    <i>
      <x v="11"/>
    </i>
    <i>
      <x v="3"/>
    </i>
    <i>
      <x v="6"/>
    </i>
    <i>
      <x v="9"/>
    </i>
    <i>
      <x v="12"/>
    </i>
    <i>
      <x/>
    </i>
    <i>
      <x v="13"/>
    </i>
    <i>
      <x v="1"/>
    </i>
    <i>
      <x v="10"/>
    </i>
    <i>
      <x v="15"/>
    </i>
    <i>
      <x v="4"/>
    </i>
    <i>
      <x v="7"/>
    </i>
    <i>
      <x v="14"/>
    </i>
    <i>
      <x v="20"/>
    </i>
    <i>
      <x v="19"/>
    </i>
    <i>
      <x v="17"/>
    </i>
    <i>
      <x v="21"/>
    </i>
    <i>
      <x v="22"/>
    </i>
    <i>
      <x v="18"/>
    </i>
    <i>
      <x v="24"/>
    </i>
    <i>
      <x v="23"/>
    </i>
    <i>
      <x v="5"/>
    </i>
    <i>
      <x v="2"/>
    </i>
    <i>
      <x v="25"/>
    </i>
  </rowItems>
  <colItems count="1">
    <i/>
  </colItems>
  <dataFields count="1">
    <dataField name="Sum of Real 2023 TRY" fld="6" showDataAs="percentOfTotal" baseField="0" baseItem="0" numFmtId="10"/>
  </dataFields>
  <formats count="2">
    <format dxfId="12">
      <pivotArea outline="0" collapsedLevelsAreSubtotals="1" fieldPosition="0"/>
    </format>
    <format dxfId="1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417D20-C9C5-43EF-9D8F-D894047CBE0F}"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69:D123" firstHeaderRow="1" firstDataRow="2" firstDataCol="1"/>
  <pivotFields count="8">
    <pivotField axis="axisCol" showAll="0">
      <items count="5">
        <item h="1" x="0"/>
        <item h="1" x="1"/>
        <item x="2"/>
        <item x="3"/>
        <item t="default"/>
      </items>
    </pivotField>
    <pivotField axis="axisRow" showAll="0">
      <items count="27">
        <item x="0"/>
        <item x="2"/>
        <item x="20"/>
        <item x="3"/>
        <item x="14"/>
        <item x="19"/>
        <item x="1"/>
        <item x="12"/>
        <item x="22"/>
        <item x="23"/>
        <item x="21"/>
        <item x="7"/>
        <item x="13"/>
        <item x="8"/>
        <item x="6"/>
        <item x="10"/>
        <item x="11"/>
        <item x="5"/>
        <item x="9"/>
        <item x="4"/>
        <item x="15"/>
        <item x="24"/>
        <item x="25"/>
        <item x="17"/>
        <item x="16"/>
        <item x="18"/>
        <item t="default"/>
      </items>
    </pivotField>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
        <item x="0"/>
        <item x="3"/>
        <item x="2"/>
        <item x="1"/>
        <item x="4"/>
        <item t="default"/>
      </items>
    </pivotField>
    <pivotField showAll="0">
      <items count="3">
        <item x="0"/>
        <item x="1"/>
        <item t="default"/>
      </items>
    </pivotField>
    <pivotField showAll="0"/>
    <pivotField dataField="1" showAll="0"/>
    <pivotField showAll="0"/>
  </pivotFields>
  <rowFields count="2">
    <field x="1"/>
    <field x="2"/>
  </rowFields>
  <rowItems count="53">
    <i>
      <x/>
    </i>
    <i r="1">
      <x/>
    </i>
    <i>
      <x v="1"/>
    </i>
    <i r="1">
      <x v="2"/>
    </i>
    <i>
      <x v="2"/>
    </i>
    <i r="1">
      <x v="20"/>
    </i>
    <i>
      <x v="3"/>
    </i>
    <i r="1">
      <x v="3"/>
    </i>
    <i>
      <x v="4"/>
    </i>
    <i r="1">
      <x v="14"/>
    </i>
    <i>
      <x v="5"/>
    </i>
    <i r="1">
      <x v="19"/>
    </i>
    <i>
      <x v="6"/>
    </i>
    <i r="1">
      <x v="1"/>
    </i>
    <i>
      <x v="7"/>
    </i>
    <i r="1">
      <x v="12"/>
    </i>
    <i>
      <x v="8"/>
    </i>
    <i r="1">
      <x v="22"/>
    </i>
    <i>
      <x v="9"/>
    </i>
    <i r="1">
      <x v="23"/>
    </i>
    <i>
      <x v="10"/>
    </i>
    <i r="1">
      <x v="21"/>
    </i>
    <i>
      <x v="11"/>
    </i>
    <i r="1">
      <x v="7"/>
    </i>
    <i>
      <x v="12"/>
    </i>
    <i r="1">
      <x v="13"/>
    </i>
    <i>
      <x v="13"/>
    </i>
    <i r="1">
      <x v="8"/>
    </i>
    <i>
      <x v="14"/>
    </i>
    <i r="1">
      <x v="6"/>
    </i>
    <i>
      <x v="15"/>
    </i>
    <i r="1">
      <x v="10"/>
    </i>
    <i>
      <x v="16"/>
    </i>
    <i r="1">
      <x v="11"/>
    </i>
    <i>
      <x v="17"/>
    </i>
    <i r="1">
      <x v="5"/>
    </i>
    <i>
      <x v="18"/>
    </i>
    <i r="1">
      <x v="9"/>
    </i>
    <i>
      <x v="19"/>
    </i>
    <i r="1">
      <x v="4"/>
    </i>
    <i>
      <x v="20"/>
    </i>
    <i r="1">
      <x v="15"/>
    </i>
    <i>
      <x v="21"/>
    </i>
    <i r="1">
      <x v="24"/>
    </i>
    <i>
      <x v="22"/>
    </i>
    <i r="1">
      <x v="25"/>
    </i>
    <i>
      <x v="23"/>
    </i>
    <i r="1">
      <x v="17"/>
    </i>
    <i>
      <x v="24"/>
    </i>
    <i r="1">
      <x v="16"/>
    </i>
    <i>
      <x v="25"/>
    </i>
    <i r="1">
      <x v="18"/>
    </i>
    <i t="grand">
      <x/>
    </i>
  </rowItems>
  <colFields count="1">
    <field x="0"/>
  </colFields>
  <colItems count="3">
    <i>
      <x v="2"/>
    </i>
    <i>
      <x v="3"/>
    </i>
    <i t="grand">
      <x/>
    </i>
  </colItems>
  <dataFields count="1">
    <dataField name="Sum of Real 2023 TRY" fld="6" baseField="0" baseItem="0"/>
  </dataFields>
  <formats count="1">
    <format dxfId="33">
      <pivotArea grandRow="1"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A0815F-72AF-494E-A76C-1330ACB839F6}"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D14" firstHeaderRow="0" firstDataRow="1" firstDataCol="1"/>
  <pivotFields count="8">
    <pivotField showAll="0"/>
    <pivotField showAll="0"/>
    <pivotField axis="axisRow" showAll="0" measureFilter="1" sortType="descending">
      <items count="27">
        <item x="0"/>
        <item x="1"/>
        <item x="2"/>
        <item x="3"/>
        <item x="4"/>
        <item x="5"/>
        <item x="6"/>
        <item x="7"/>
        <item x="8"/>
        <item x="9"/>
        <item x="10"/>
        <item x="11"/>
        <item x="12"/>
        <item x="13"/>
        <item x="14"/>
        <item x="15"/>
        <item x="16"/>
        <item x="17"/>
        <item x="18"/>
        <item x="19"/>
        <item x="20"/>
        <item x="21"/>
        <item x="22"/>
        <item x="23"/>
        <item x="24"/>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2"/>
  </rowFields>
  <rowItems count="11">
    <i>
      <x v="11"/>
    </i>
    <i>
      <x v="22"/>
    </i>
    <i>
      <x v="7"/>
    </i>
    <i>
      <x v="3"/>
    </i>
    <i>
      <x v="1"/>
    </i>
    <i>
      <x v="23"/>
    </i>
    <i>
      <x v="13"/>
    </i>
    <i>
      <x/>
    </i>
    <i>
      <x v="8"/>
    </i>
    <i>
      <x v="2"/>
    </i>
    <i t="grand">
      <x/>
    </i>
  </rowItems>
  <colFields count="1">
    <field x="-2"/>
  </colFields>
  <colItems count="3">
    <i>
      <x/>
    </i>
    <i i="1">
      <x v="1"/>
    </i>
    <i i="2">
      <x v="2"/>
    </i>
  </colItems>
  <dataFields count="3">
    <dataField name="Sum of Real 2023 TRY" fld="6" baseField="0" baseItem="0" numFmtId="168"/>
    <dataField name="Sum of Real 2023 TRY2" fld="6" showDataAs="percentOfTotal" baseField="0" baseItem="0" numFmtId="10"/>
    <dataField name="Sum of Real 2023 TRY3" fld="6" baseField="2" baseItem="0" numFmtId="10">
      <extLst>
        <ext xmlns:x14="http://schemas.microsoft.com/office/spreadsheetml/2009/9/main" uri="{E15A36E0-9728-4e99-A89B-3F7291B0FE68}">
          <x14:dataField pivotShowAs="percentOfRunningTotal"/>
        </ext>
      </extLst>
    </dataField>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CD89A7-A791-4336-8A7B-17538317EE62}" name="PivotTable10"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41:C47" firstHeaderRow="1" firstDataRow="2" firstDataCol="1"/>
  <pivotFields count="8">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sortType="a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items count="3">
        <item x="0"/>
        <item x="1"/>
        <item t="default"/>
      </items>
    </pivotField>
    <pivotField showAll="0"/>
    <pivotField dataField="1" showAll="0"/>
    <pivotField showAll="0"/>
  </pivotFields>
  <rowFields count="1">
    <field x="3"/>
  </rowFields>
  <rowItems count="5">
    <i>
      <x v="2"/>
    </i>
    <i>
      <x v="3"/>
    </i>
    <i>
      <x/>
    </i>
    <i>
      <x v="4"/>
    </i>
    <i>
      <x v="1"/>
    </i>
  </rowItems>
  <colFields count="1">
    <field x="4"/>
  </colFields>
  <colItems count="2">
    <i>
      <x/>
    </i>
    <i>
      <x v="1"/>
    </i>
  </colItems>
  <dataFields count="1">
    <dataField name="Sum of Real 2023 TRY" fld="6" baseField="0" baseItem="0" numFmtId="168"/>
  </dataFields>
  <formats count="5">
    <format dxfId="0">
      <pivotArea collapsedLevelsAreSubtotals="1" fieldPosition="0">
        <references count="2">
          <reference field="3" count="1">
            <x v="1"/>
          </reference>
          <reference field="4" count="1" selected="0">
            <x v="1"/>
          </reference>
        </references>
      </pivotArea>
    </format>
    <format dxfId="1">
      <pivotArea field="3" grandCol="1" collapsedLevelsAreSubtotals="1" axis="axisRow" fieldPosition="0">
        <references count="1">
          <reference field="3" count="1">
            <x v="1"/>
          </reference>
        </references>
      </pivotArea>
    </format>
    <format dxfId="2">
      <pivotArea field="4" grandRow="1" outline="0" collapsedLevelsAreSubtotals="1" axis="axisCol" fieldPosition="0">
        <references count="1">
          <reference field="4" count="1" selected="0">
            <x v="1"/>
          </reference>
        </references>
      </pivotArea>
    </format>
    <format dxfId="3">
      <pivotArea grandRow="1" grandCol="1" outline="0" collapsedLevelsAreSubtotals="1" fieldPosition="0"/>
    </format>
    <format dxfId="4">
      <pivotArea outline="0" fieldPosition="0">
        <references count="1">
          <reference field="4294967294" count="1">
            <x v="0"/>
          </reference>
        </references>
      </pivotArea>
    </format>
  </formats>
  <chartFormats count="4">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71C26A-4FB9-4DD2-B5E3-66CC9019825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24" firstHeaderRow="1" firstDataRow="1" firstDataCol="1"/>
  <pivotFields count="20">
    <pivotField axis="axisRow" showAll="0">
      <items count="6">
        <item x="2"/>
        <item x="3"/>
        <item x="0"/>
        <item x="1"/>
        <item x="4"/>
        <item t="default"/>
      </items>
    </pivotField>
    <pivotField showAll="0"/>
    <pivotField axis="axisRow" showAll="0">
      <items count="3">
        <item x="0"/>
        <item x="1"/>
        <item t="default"/>
      </items>
    </pivotField>
    <pivotField showAll="0"/>
    <pivotField axis="axisRow" showAll="0">
      <items count="28">
        <item x="14"/>
        <item x="9"/>
        <item x="1"/>
        <item x="11"/>
        <item x="8"/>
        <item x="17"/>
        <item x="22"/>
        <item x="5"/>
        <item x="10"/>
        <item x="19"/>
        <item x="12"/>
        <item x="21"/>
        <item x="3"/>
        <item x="7"/>
        <item x="25"/>
        <item x="16"/>
        <item x="6"/>
        <item x="24"/>
        <item x="18"/>
        <item x="13"/>
        <item x="23"/>
        <item x="0"/>
        <item x="4"/>
        <item x="15"/>
        <item x="20"/>
        <item x="2"/>
        <item x="26"/>
        <item t="default"/>
      </items>
    </pivotField>
    <pivotField showAll="0"/>
    <pivotField showAll="0"/>
    <pivotField axis="axisRow" showAll="0">
      <items count="4">
        <item x="1"/>
        <item x="0"/>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4">
    <field x="0"/>
    <field x="4"/>
    <field x="2"/>
    <field x="7"/>
  </rowFields>
  <rowItems count="321">
    <i>
      <x/>
    </i>
    <i r="1">
      <x/>
    </i>
    <i r="2">
      <x/>
    </i>
    <i r="3">
      <x/>
    </i>
    <i r="1">
      <x v="1"/>
    </i>
    <i r="2">
      <x/>
    </i>
    <i r="3">
      <x/>
    </i>
    <i r="1">
      <x v="2"/>
    </i>
    <i r="2">
      <x/>
    </i>
    <i r="3">
      <x/>
    </i>
    <i r="1">
      <x v="3"/>
    </i>
    <i r="2">
      <x/>
    </i>
    <i r="3">
      <x/>
    </i>
    <i r="1">
      <x v="4"/>
    </i>
    <i r="2">
      <x/>
    </i>
    <i r="3">
      <x v="1"/>
    </i>
    <i r="1">
      <x v="5"/>
    </i>
    <i r="2">
      <x/>
    </i>
    <i r="3">
      <x/>
    </i>
    <i r="1">
      <x v="6"/>
    </i>
    <i r="2">
      <x/>
    </i>
    <i r="3">
      <x/>
    </i>
    <i r="1">
      <x v="7"/>
    </i>
    <i r="2">
      <x/>
    </i>
    <i r="3">
      <x v="1"/>
    </i>
    <i r="1">
      <x v="8"/>
    </i>
    <i r="2">
      <x/>
    </i>
    <i r="3">
      <x v="1"/>
    </i>
    <i r="1">
      <x v="9"/>
    </i>
    <i r="2">
      <x/>
    </i>
    <i r="3">
      <x v="1"/>
    </i>
    <i r="1">
      <x v="10"/>
    </i>
    <i r="2">
      <x/>
    </i>
    <i r="3">
      <x v="1"/>
    </i>
    <i r="1">
      <x v="11"/>
    </i>
    <i r="2">
      <x/>
    </i>
    <i r="3">
      <x v="1"/>
    </i>
    <i r="1">
      <x v="12"/>
    </i>
    <i r="2">
      <x/>
    </i>
    <i r="3">
      <x v="1"/>
    </i>
    <i r="1">
      <x v="13"/>
    </i>
    <i r="2">
      <x/>
    </i>
    <i r="3">
      <x v="1"/>
    </i>
    <i r="1">
      <x v="14"/>
    </i>
    <i r="2">
      <x/>
    </i>
    <i r="3">
      <x v="1"/>
    </i>
    <i r="1">
      <x v="15"/>
    </i>
    <i r="2">
      <x/>
    </i>
    <i r="3">
      <x v="1"/>
    </i>
    <i r="1">
      <x v="16"/>
    </i>
    <i r="2">
      <x/>
    </i>
    <i r="3">
      <x v="1"/>
    </i>
    <i r="1">
      <x v="17"/>
    </i>
    <i r="2">
      <x/>
    </i>
    <i r="3">
      <x v="1"/>
    </i>
    <i r="1">
      <x v="18"/>
    </i>
    <i r="2">
      <x/>
    </i>
    <i r="3">
      <x v="1"/>
    </i>
    <i r="1">
      <x v="19"/>
    </i>
    <i r="2">
      <x/>
    </i>
    <i r="3">
      <x v="1"/>
    </i>
    <i r="1">
      <x v="20"/>
    </i>
    <i r="2">
      <x/>
    </i>
    <i r="3">
      <x v="1"/>
    </i>
    <i r="1">
      <x v="21"/>
    </i>
    <i r="2">
      <x/>
    </i>
    <i r="3">
      <x v="1"/>
    </i>
    <i r="1">
      <x v="22"/>
    </i>
    <i r="2">
      <x/>
    </i>
    <i r="3">
      <x v="1"/>
    </i>
    <i r="1">
      <x v="23"/>
    </i>
    <i r="2">
      <x/>
    </i>
    <i r="3">
      <x v="1"/>
    </i>
    <i r="1">
      <x v="24"/>
    </i>
    <i r="2">
      <x/>
    </i>
    <i r="3">
      <x v="1"/>
    </i>
    <i r="1">
      <x v="25"/>
    </i>
    <i r="2">
      <x/>
    </i>
    <i r="3">
      <x v="1"/>
    </i>
    <i>
      <x v="1"/>
    </i>
    <i r="1">
      <x/>
    </i>
    <i r="2">
      <x/>
    </i>
    <i r="3">
      <x/>
    </i>
    <i r="1">
      <x v="1"/>
    </i>
    <i r="2">
      <x/>
    </i>
    <i r="3">
      <x/>
    </i>
    <i r="1">
      <x v="2"/>
    </i>
    <i r="2">
      <x/>
    </i>
    <i r="3">
      <x/>
    </i>
    <i r="1">
      <x v="3"/>
    </i>
    <i r="2">
      <x/>
    </i>
    <i r="3">
      <x/>
    </i>
    <i r="1">
      <x v="4"/>
    </i>
    <i r="2">
      <x/>
    </i>
    <i r="3">
      <x v="1"/>
    </i>
    <i r="1">
      <x v="5"/>
    </i>
    <i r="2">
      <x/>
    </i>
    <i r="3">
      <x/>
    </i>
    <i r="1">
      <x v="6"/>
    </i>
    <i r="2">
      <x/>
    </i>
    <i r="3">
      <x/>
    </i>
    <i r="1">
      <x v="7"/>
    </i>
    <i r="2">
      <x/>
    </i>
    <i r="3">
      <x v="1"/>
    </i>
    <i r="1">
      <x v="8"/>
    </i>
    <i r="2">
      <x/>
    </i>
    <i r="3">
      <x v="1"/>
    </i>
    <i r="1">
      <x v="9"/>
    </i>
    <i r="2">
      <x/>
    </i>
    <i r="3">
      <x v="1"/>
    </i>
    <i r="1">
      <x v="10"/>
    </i>
    <i r="2">
      <x/>
    </i>
    <i r="3">
      <x v="1"/>
    </i>
    <i r="1">
      <x v="11"/>
    </i>
    <i r="2">
      <x/>
    </i>
    <i r="3">
      <x v="1"/>
    </i>
    <i r="1">
      <x v="12"/>
    </i>
    <i r="2">
      <x/>
    </i>
    <i r="3">
      <x v="1"/>
    </i>
    <i r="1">
      <x v="13"/>
    </i>
    <i r="2">
      <x/>
    </i>
    <i r="3">
      <x v="1"/>
    </i>
    <i r="1">
      <x v="14"/>
    </i>
    <i r="2">
      <x/>
    </i>
    <i r="3">
      <x v="1"/>
    </i>
    <i r="1">
      <x v="15"/>
    </i>
    <i r="2">
      <x/>
    </i>
    <i r="3">
      <x v="1"/>
    </i>
    <i r="1">
      <x v="16"/>
    </i>
    <i r="2">
      <x/>
    </i>
    <i r="3">
      <x v="1"/>
    </i>
    <i r="1">
      <x v="17"/>
    </i>
    <i r="2">
      <x/>
    </i>
    <i r="3">
      <x v="1"/>
    </i>
    <i r="1">
      <x v="18"/>
    </i>
    <i r="2">
      <x/>
    </i>
    <i r="3">
      <x v="1"/>
    </i>
    <i r="1">
      <x v="19"/>
    </i>
    <i r="2">
      <x/>
    </i>
    <i r="3">
      <x v="1"/>
    </i>
    <i r="1">
      <x v="20"/>
    </i>
    <i r="2">
      <x/>
    </i>
    <i r="3">
      <x v="1"/>
    </i>
    <i r="1">
      <x v="21"/>
    </i>
    <i r="2">
      <x/>
    </i>
    <i r="3">
      <x v="1"/>
    </i>
    <i r="1">
      <x v="22"/>
    </i>
    <i r="2">
      <x/>
    </i>
    <i r="3">
      <x v="1"/>
    </i>
    <i r="1">
      <x v="23"/>
    </i>
    <i r="2">
      <x/>
    </i>
    <i r="3">
      <x v="1"/>
    </i>
    <i r="1">
      <x v="24"/>
    </i>
    <i r="2">
      <x/>
    </i>
    <i r="3">
      <x v="1"/>
    </i>
    <i r="1">
      <x v="25"/>
    </i>
    <i r="2">
      <x/>
    </i>
    <i r="3">
      <x v="1"/>
    </i>
    <i>
      <x v="2"/>
    </i>
    <i r="1">
      <x/>
    </i>
    <i r="2">
      <x/>
    </i>
    <i r="3">
      <x/>
    </i>
    <i r="1">
      <x v="1"/>
    </i>
    <i r="2">
      <x/>
    </i>
    <i r="3">
      <x/>
    </i>
    <i r="1">
      <x v="2"/>
    </i>
    <i r="2">
      <x/>
    </i>
    <i r="3">
      <x/>
    </i>
    <i r="1">
      <x v="3"/>
    </i>
    <i r="2">
      <x/>
    </i>
    <i r="3">
      <x/>
    </i>
    <i r="1">
      <x v="4"/>
    </i>
    <i r="2">
      <x/>
    </i>
    <i r="3">
      <x v="1"/>
    </i>
    <i r="1">
      <x v="5"/>
    </i>
    <i r="2">
      <x/>
    </i>
    <i r="3">
      <x/>
    </i>
    <i r="1">
      <x v="6"/>
    </i>
    <i r="2">
      <x/>
    </i>
    <i r="3">
      <x/>
    </i>
    <i r="1">
      <x v="7"/>
    </i>
    <i r="2">
      <x/>
    </i>
    <i r="3">
      <x v="1"/>
    </i>
    <i r="1">
      <x v="8"/>
    </i>
    <i r="2">
      <x/>
    </i>
    <i r="3">
      <x v="1"/>
    </i>
    <i r="1">
      <x v="9"/>
    </i>
    <i r="2">
      <x/>
    </i>
    <i r="3">
      <x v="1"/>
    </i>
    <i r="1">
      <x v="10"/>
    </i>
    <i r="2">
      <x/>
    </i>
    <i r="3">
      <x v="1"/>
    </i>
    <i r="1">
      <x v="11"/>
    </i>
    <i r="2">
      <x/>
    </i>
    <i r="3">
      <x v="1"/>
    </i>
    <i r="1">
      <x v="12"/>
    </i>
    <i r="2">
      <x/>
    </i>
    <i r="3">
      <x v="1"/>
    </i>
    <i r="1">
      <x v="13"/>
    </i>
    <i r="2">
      <x/>
    </i>
    <i r="3">
      <x v="1"/>
    </i>
    <i r="1">
      <x v="14"/>
    </i>
    <i r="2">
      <x/>
    </i>
    <i r="3">
      <x v="1"/>
    </i>
    <i r="1">
      <x v="15"/>
    </i>
    <i r="2">
      <x/>
    </i>
    <i r="3">
      <x v="1"/>
    </i>
    <i r="1">
      <x v="16"/>
    </i>
    <i r="2">
      <x/>
    </i>
    <i r="3">
      <x v="1"/>
    </i>
    <i r="1">
      <x v="17"/>
    </i>
    <i r="2">
      <x/>
    </i>
    <i r="3">
      <x v="1"/>
    </i>
    <i r="1">
      <x v="18"/>
    </i>
    <i r="2">
      <x/>
    </i>
    <i r="3">
      <x v="1"/>
    </i>
    <i r="1">
      <x v="19"/>
    </i>
    <i r="2">
      <x/>
    </i>
    <i r="3">
      <x v="1"/>
    </i>
    <i r="1">
      <x v="20"/>
    </i>
    <i r="2">
      <x/>
    </i>
    <i r="3">
      <x v="1"/>
    </i>
    <i r="1">
      <x v="21"/>
    </i>
    <i r="2">
      <x/>
    </i>
    <i r="3">
      <x v="1"/>
    </i>
    <i r="1">
      <x v="22"/>
    </i>
    <i r="2">
      <x/>
    </i>
    <i r="3">
      <x v="1"/>
    </i>
    <i r="1">
      <x v="23"/>
    </i>
    <i r="2">
      <x/>
    </i>
    <i r="3">
      <x v="1"/>
    </i>
    <i r="1">
      <x v="24"/>
    </i>
    <i r="2">
      <x/>
    </i>
    <i r="3">
      <x v="1"/>
    </i>
    <i r="1">
      <x v="25"/>
    </i>
    <i r="2">
      <x/>
    </i>
    <i r="3">
      <x v="1"/>
    </i>
    <i>
      <x v="3"/>
    </i>
    <i r="1">
      <x/>
    </i>
    <i r="2">
      <x/>
    </i>
    <i r="3">
      <x/>
    </i>
    <i r="1">
      <x v="1"/>
    </i>
    <i r="2">
      <x/>
    </i>
    <i r="3">
      <x/>
    </i>
    <i r="1">
      <x v="2"/>
    </i>
    <i r="2">
      <x/>
    </i>
    <i r="3">
      <x/>
    </i>
    <i r="1">
      <x v="3"/>
    </i>
    <i r="2">
      <x/>
    </i>
    <i r="3">
      <x/>
    </i>
    <i r="1">
      <x v="4"/>
    </i>
    <i r="2">
      <x/>
    </i>
    <i r="3">
      <x v="1"/>
    </i>
    <i r="1">
      <x v="5"/>
    </i>
    <i r="2">
      <x/>
    </i>
    <i r="3">
      <x/>
    </i>
    <i r="1">
      <x v="6"/>
    </i>
    <i r="2">
      <x/>
    </i>
    <i r="3">
      <x/>
    </i>
    <i r="1">
      <x v="7"/>
    </i>
    <i r="2">
      <x/>
    </i>
    <i r="3">
      <x v="1"/>
    </i>
    <i r="1">
      <x v="8"/>
    </i>
    <i r="2">
      <x/>
    </i>
    <i r="3">
      <x v="1"/>
    </i>
    <i r="1">
      <x v="9"/>
    </i>
    <i r="2">
      <x/>
    </i>
    <i r="3">
      <x v="1"/>
    </i>
    <i r="1">
      <x v="10"/>
    </i>
    <i r="2">
      <x/>
    </i>
    <i r="3">
      <x v="1"/>
    </i>
    <i r="1">
      <x v="11"/>
    </i>
    <i r="2">
      <x/>
    </i>
    <i r="3">
      <x v="1"/>
    </i>
    <i r="1">
      <x v="12"/>
    </i>
    <i r="2">
      <x/>
    </i>
    <i r="3">
      <x v="1"/>
    </i>
    <i r="1">
      <x v="13"/>
    </i>
    <i r="2">
      <x/>
    </i>
    <i r="3">
      <x v="1"/>
    </i>
    <i r="1">
      <x v="14"/>
    </i>
    <i r="2">
      <x/>
    </i>
    <i r="3">
      <x v="1"/>
    </i>
    <i r="1">
      <x v="15"/>
    </i>
    <i r="2">
      <x/>
    </i>
    <i r="3">
      <x v="1"/>
    </i>
    <i r="1">
      <x v="16"/>
    </i>
    <i r="2">
      <x/>
    </i>
    <i r="3">
      <x v="1"/>
    </i>
    <i r="1">
      <x v="17"/>
    </i>
    <i r="2">
      <x/>
    </i>
    <i r="3">
      <x v="1"/>
    </i>
    <i r="1">
      <x v="18"/>
    </i>
    <i r="2">
      <x/>
    </i>
    <i r="3">
      <x v="1"/>
    </i>
    <i r="1">
      <x v="19"/>
    </i>
    <i r="2">
      <x/>
    </i>
    <i r="3">
      <x v="1"/>
    </i>
    <i r="1">
      <x v="20"/>
    </i>
    <i r="2">
      <x/>
    </i>
    <i r="3">
      <x v="1"/>
    </i>
    <i r="1">
      <x v="21"/>
    </i>
    <i r="2">
      <x/>
    </i>
    <i r="3">
      <x v="1"/>
    </i>
    <i r="1">
      <x v="22"/>
    </i>
    <i r="2">
      <x/>
    </i>
    <i r="3">
      <x v="1"/>
    </i>
    <i r="1">
      <x v="23"/>
    </i>
    <i r="2">
      <x/>
    </i>
    <i r="3">
      <x v="1"/>
    </i>
    <i r="1">
      <x v="24"/>
    </i>
    <i r="2">
      <x/>
    </i>
    <i r="3">
      <x v="1"/>
    </i>
    <i r="1">
      <x v="25"/>
    </i>
    <i r="2">
      <x/>
    </i>
    <i r="3">
      <x v="1"/>
    </i>
    <i>
      <x v="4"/>
    </i>
    <i r="1">
      <x v="26"/>
    </i>
    <i r="2">
      <x v="1"/>
    </i>
    <i r="3">
      <x v="2"/>
    </i>
    <i t="grand">
      <x/>
    </i>
  </rowItems>
  <colItems count="1">
    <i/>
  </colItems>
  <dataFields count="1">
    <dataField name="Sum of Observation_Value_Numeric"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Recurring" xr10:uid="{540D1A71-9D76-4495-A681-C76ECAE7C50D}" sourceName="Is_Recurring">
  <data>
    <tabular pivotCacheId="16852152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ort_Type" xr10:uid="{3AB79E2C-B9B3-4B76-8430-BBE6618B2A14}" sourceName="Support_Type">
  <data>
    <tabular pivotCacheId="168521522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nd" xr10:uid="{A5353026-F402-47C9-9D6C-188245A1C5BC}" sourceName="Trend">
  <data>
    <tabular pivotCacheId="1685215228">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ort_Structure_Name" xr10:uid="{3F61BD01-BB13-45FE-B15C-75A48339ABD8}" sourceName="Support_Structure_Name">
  <data>
    <tabular pivotCacheId="168521522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E177C76-274A-43D4-9894-841623D106D9}" sourceName="Year">
  <data>
    <tabular pivotCacheId="1685215228">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Recurring 1" xr10:uid="{06106882-8C07-4F29-B225-643ED436C177}" cache="Slicer_Is_Recurring" caption="Is_Recurring" style="SlicerStyleOther2" rowHeight="241300"/>
  <slicer name="Support_Type 1" xr10:uid="{D2F8926A-BCEE-4796-8DB3-9FBD7DED78A3}" cache="Slicer_Support_Type" caption="Support_Type" style="SlicerStyleOther2" rowHeight="241300"/>
  <slicer name="Trend 1" xr10:uid="{A376027B-7F5F-4F68-BC76-8FDCA3BD6DFD}" cache="Slicer_Trend" caption="Trend" style="SlicerStyleOther2" rowHeight="241300"/>
  <slicer name="Support_Structure_Name 1" xr10:uid="{13E08875-26BD-4351-A58A-39CB7EA544D4}" cache="Slicer_Support_Structure_Name" caption="Support_Structure_Name" style="SlicerStyleOther2" rowHeight="241300"/>
  <slicer name="Year 1" xr10:uid="{79F9B2D8-B3AB-40C0-ACA2-3852D1A9D452}" cache="Slicer_Year" caption="Year"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4369B4-101E-4BE3-BC66-7DBA7C4B32A2}" name="Table1" displayName="Table1" ref="A1:T225" totalsRowShown="0" headerRowDxfId="69" dataDxfId="68">
  <autoFilter ref="A1:T225" xr:uid="{664369B4-101E-4BE3-BC66-7DBA7C4B32A2}"/>
  <tableColumns count="20">
    <tableColumn id="1" xr3:uid="{DFF31F7C-919D-45C4-8844-36B77492C5BB}" name="Year" dataDxfId="67"/>
    <tableColumn id="7" xr3:uid="{5666DF70-A45E-4D76-B1B3-80A69270414C}" name="Decade" dataDxfId="66"/>
    <tableColumn id="8" xr3:uid="{43BC0D0D-CE3D-4E32-A6D7-A08108707EB7}" name="Support_Structure_Name" dataDxfId="65"/>
    <tableColumn id="9" xr3:uid="{D65CB95D-5368-4C2C-A7CF-7229A3A5914D}" name="Frequency" dataDxfId="64"/>
    <tableColumn id="10" xr3:uid="{C49B12DC-5BF8-4CA6-A02F-7F2ADBF03521}" name="Instrument_Code" dataDxfId="63"/>
    <tableColumn id="11" xr3:uid="{F6844889-DEC6-46B2-9F0E-55CFE1AEC7DF}" name="Instrument_Description" dataDxfId="62"/>
    <tableColumn id="12" xr3:uid="{E3134480-5160-4CB4-9BB8-38046E80523E}" name="Fossil_Fuel_Type" dataDxfId="61"/>
    <tableColumn id="13" xr3:uid="{2A123469-6481-4478-9C52-7B41C61F71E3}" name="Support_Type" dataDxfId="60"/>
    <tableColumn id="14" xr3:uid="{01E32B8D-F749-4C26-9731-E768ED1B26A8}" name="Observation_Value" dataDxfId="59"/>
    <tableColumn id="15" xr3:uid="{798FBE55-EB1B-4462-97F2-E3EF5E644B68}" name="Observation_Value_Numeric" dataDxfId="58"/>
    <tableColumn id="16" xr3:uid="{4BE15A7F-FB31-4FF5-848B-8BEE8EEB9FC4}" name="Monetary_Impact" dataDxfId="57"/>
    <tableColumn id="17" xr3:uid="{CB75B964-F484-4B96-927E-5049D76B8343}" name="YoY_Change" dataDxfId="56"/>
    <tableColumn id="18" xr3:uid="{4F36C6CD-120F-4A96-8A23-09B518DA8B6C}" name="Is_Recurring" dataDxfId="55"/>
    <tableColumn id="19" xr3:uid="{BF2B23CA-87F8-4E0A-8E58-371C686EC607}" name="Support_Duration_Years" dataDxfId="54"/>
    <tableColumn id="20" xr3:uid="{7654EE3B-1145-41B7-861E-324E7E513FE9}" name="Average_Annual_Support" dataDxfId="53"/>
    <tableColumn id="5" xr3:uid="{3F350F50-F8D9-4170-BC3F-669AFC53D0F8}" name="Trend" dataDxfId="52"/>
    <tableColumn id="6" xr3:uid="{821CA29D-8597-4DDC-9290-81FBD3262527}" name="Observation_Status" dataDxfId="51"/>
    <tableColumn id="2" xr3:uid="{68D31D77-95C4-493D-8F9F-61332E1312DC}" name="Nominal TRY" dataDxfId="50"/>
    <tableColumn id="3" xr3:uid="{E6E75DC3-BE92-4B04-A1ED-C448A4F30145}" name="Real 2023 TRY" dataDxfId="49">
      <calculatedColumnFormula array="1">Table1[[#This Row],[Nominal TRY]]*_xlfn.XLOOKUP(Table1[[#This Row],[Year]],Table2[[#All],[Year]],Table2[[#All],[Deflator to 2023]])</calculatedColumnFormula>
    </tableColumn>
    <tableColumn id="4" xr3:uid="{550BAB19-3721-4608-8CFA-27BFCE15235B}" name="USD Equivalent" dataDxfId="48">
      <calculatedColumnFormula array="1">Table1[[#This Row],[Nominal TRY]]/_xlfn.XLOOKUP(Table1[[#This Row],[Year]],Table3[[#All],[Year]],Table3[[#All],[Rate]])</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14C5B0-CE41-4A3A-A4FB-30216F6F124C}" name="Table2" displayName="Table2" ref="A1:D5" totalsRowShown="0" headerRowDxfId="47" headerRowBorderDxfId="46" tableBorderDxfId="45" totalsRowBorderDxfId="44">
  <autoFilter ref="A1:D5" xr:uid="{8414C5B0-CE41-4A3A-A4FB-30216F6F124C}"/>
  <tableColumns count="4">
    <tableColumn id="1" xr3:uid="{DA6A481B-80D0-41D9-8240-1FE7A65B4A42}" name="Year" dataDxfId="43"/>
    <tableColumn id="2" xr3:uid="{487AFA98-6644-4126-B476-3F20889FCA56}" name="Inflation Rate" dataDxfId="42"/>
    <tableColumn id="3" xr3:uid="{0C012FA1-2F35-4813-AF7F-9671C0C2D068}" name="CPI Multiplier" dataDxfId="41"/>
    <tableColumn id="4" xr3:uid="{B9E9D97E-674E-48E9-AE72-3B2D1F4B6F6D}" name="Deflator to 2023" dataDxfId="40">
      <calculatedColumnFormula>$C$5/C2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68D406-D800-4E98-BFDF-3F6A421D36FD}" name="Table3" displayName="Table3" ref="A8:B12" totalsRowShown="0" headerRowBorderDxfId="39" tableBorderDxfId="38" totalsRowBorderDxfId="37">
  <autoFilter ref="A8:B12" xr:uid="{4168D406-D800-4E98-BFDF-3F6A421D36FD}"/>
  <tableColumns count="2">
    <tableColumn id="1" xr3:uid="{8F64B958-68B7-4AF9-9ADC-3D61BB8048C7}" name="Year" dataDxfId="36"/>
    <tableColumn id="2" xr3:uid="{71BD4D60-C764-4F37-A11F-C47F9A29917A}" name="Rate" dataDxfId="3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AF4D21-21E6-4226-B5DD-DBA80C26E1C8}" name="Table35" displayName="Table35" ref="A1:H105" totalsRowShown="0">
  <autoFilter ref="A1:H105" xr:uid="{1544E2CE-50B5-4B5A-AAFC-6D083E71E339}"/>
  <sortState ref="A2:F105">
    <sortCondition ref="C1:C105"/>
  </sortState>
  <tableColumns count="8">
    <tableColumn id="1" xr3:uid="{D6EDB4C9-2137-4320-8DE8-D96CBF4821E8}" name="Year"/>
    <tableColumn id="2" xr3:uid="{B26B6651-C5FB-4194-A16F-0C54BC5371FA}" name="Instrument_Code"/>
    <tableColumn id="3" xr3:uid="{429845C2-77E6-42B1-ADC3-99C6564446F2}" name="Instrument_Description"/>
    <tableColumn id="4" xr3:uid="{0766ECFD-81BE-4B7E-902B-54AEBF880012}" name="Fossil_Fuel_Type"/>
    <tableColumn id="5" xr3:uid="{F29AA0D1-807F-4E72-A229-ABF35D2A150D}" name="Support_Type"/>
    <tableColumn id="6" xr3:uid="{34296439-7413-4274-97B8-46D587A8B130}" name="Norminal TRY"/>
    <tableColumn id="7" xr3:uid="{48CBAD1E-081C-48F9-A402-A1DEF8879C62}" name="Real 2023 TRY" dataDxfId="32">
      <calculatedColumnFormula>F2* VLOOKUP(A2, '[1]Assumptions Table'!$A$2:$D$5, 4, FALSE)</calculatedColumnFormula>
    </tableColumn>
    <tableColumn id="8" xr3:uid="{23E10F3A-25F2-4CBB-9D5A-1A9EE03F00FE}" name="YoY% Change" dataDxfId="31">
      <calculatedColumnFormula>IF(B2="","", IF(B2=B1, (G2-G1)/G1, "N/A"))</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rinterSettings" Target="../printerSettings/printerSettings4.bin"/><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49396-A5AF-4BCC-9D8B-57C13F67DBCE}">
  <dimension ref="A1:Q225"/>
  <sheetViews>
    <sheetView topLeftCell="A197" workbookViewId="0">
      <selection activeCell="F222" sqref="F222"/>
    </sheetView>
  </sheetViews>
  <sheetFormatPr defaultRowHeight="14.5"/>
  <cols>
    <col min="3" max="3" width="28" bestFit="1" customWidth="1"/>
    <col min="4" max="4" width="10.26953125" bestFit="1" customWidth="1"/>
    <col min="5" max="5" width="16.54296875" bestFit="1" customWidth="1"/>
    <col min="6" max="6" width="58.7265625" style="3" customWidth="1"/>
    <col min="7" max="7" width="25.7265625" bestFit="1" customWidth="1"/>
    <col min="8" max="8" width="18.54296875" bestFit="1" customWidth="1"/>
    <col min="9" max="9" width="18.26953125" bestFit="1" customWidth="1"/>
    <col min="10" max="10" width="17.54296875" customWidth="1"/>
    <col min="11" max="11" width="16.7265625" bestFit="1" customWidth="1"/>
    <col min="12" max="12" width="18.81640625" bestFit="1" customWidth="1"/>
    <col min="14" max="14" width="13.54296875" customWidth="1"/>
    <col min="15" max="15" width="15.26953125" customWidth="1"/>
    <col min="16" max="16" width="10.7265625" bestFit="1" customWidth="1"/>
    <col min="17" max="17" width="18.54296875" bestFit="1" customWidth="1"/>
  </cols>
  <sheetData>
    <row r="1" spans="1:17" ht="29">
      <c r="A1" t="s">
        <v>0</v>
      </c>
      <c r="B1" t="s">
        <v>1</v>
      </c>
      <c r="C1" t="s">
        <v>2</v>
      </c>
      <c r="D1" t="s">
        <v>3</v>
      </c>
      <c r="E1" t="s">
        <v>4</v>
      </c>
      <c r="F1" s="3" t="s">
        <v>5</v>
      </c>
      <c r="G1" t="s">
        <v>6</v>
      </c>
      <c r="H1" t="s">
        <v>7</v>
      </c>
      <c r="I1" t="s">
        <v>8</v>
      </c>
      <c r="J1" t="s">
        <v>9</v>
      </c>
      <c r="K1" t="s">
        <v>10</v>
      </c>
      <c r="L1" t="s">
        <v>11</v>
      </c>
      <c r="M1" t="s">
        <v>12</v>
      </c>
      <c r="N1" s="3" t="s">
        <v>13</v>
      </c>
      <c r="O1" t="s">
        <v>14</v>
      </c>
      <c r="P1" t="s">
        <v>15</v>
      </c>
      <c r="Q1" t="s">
        <v>16</v>
      </c>
    </row>
    <row r="2" spans="1:17" ht="29">
      <c r="A2">
        <v>2022</v>
      </c>
      <c r="B2">
        <v>2020</v>
      </c>
      <c r="C2" t="s">
        <v>17</v>
      </c>
      <c r="D2" t="s">
        <v>18</v>
      </c>
      <c r="E2" t="s">
        <v>19</v>
      </c>
      <c r="F2" s="3" t="s">
        <v>20</v>
      </c>
      <c r="G2" t="s">
        <v>21</v>
      </c>
      <c r="H2" t="s">
        <v>22</v>
      </c>
      <c r="I2" s="1">
        <v>18739507</v>
      </c>
      <c r="J2">
        <v>18739507</v>
      </c>
      <c r="K2" t="s">
        <v>23</v>
      </c>
      <c r="M2" t="b">
        <v>1</v>
      </c>
      <c r="N2">
        <v>4</v>
      </c>
      <c r="O2">
        <v>99912404.875</v>
      </c>
      <c r="P2" t="s">
        <v>24</v>
      </c>
      <c r="Q2" t="s">
        <v>25</v>
      </c>
    </row>
    <row r="3" spans="1:17" ht="29">
      <c r="A3">
        <v>2023</v>
      </c>
      <c r="B3">
        <v>2020</v>
      </c>
      <c r="C3" t="s">
        <v>17</v>
      </c>
      <c r="D3" t="s">
        <v>18</v>
      </c>
      <c r="E3" t="s">
        <v>19</v>
      </c>
      <c r="F3" s="3" t="s">
        <v>20</v>
      </c>
      <c r="G3" t="s">
        <v>21</v>
      </c>
      <c r="H3" t="s">
        <v>22</v>
      </c>
      <c r="I3" s="1">
        <v>703716490</v>
      </c>
      <c r="J3">
        <v>703716490</v>
      </c>
      <c r="K3" t="s">
        <v>26</v>
      </c>
      <c r="L3" s="2" t="s">
        <v>27</v>
      </c>
      <c r="M3" t="b">
        <v>1</v>
      </c>
      <c r="N3">
        <v>4</v>
      </c>
      <c r="O3">
        <v>99912404.875</v>
      </c>
      <c r="P3" t="s">
        <v>24</v>
      </c>
      <c r="Q3" t="s">
        <v>25</v>
      </c>
    </row>
    <row r="4" spans="1:17">
      <c r="A4">
        <v>2020</v>
      </c>
      <c r="B4">
        <v>2020</v>
      </c>
      <c r="C4" t="s">
        <v>17</v>
      </c>
      <c r="D4" t="s">
        <v>18</v>
      </c>
      <c r="E4" t="s">
        <v>28</v>
      </c>
      <c r="F4" s="3" t="s">
        <v>29</v>
      </c>
      <c r="G4" t="s">
        <v>30</v>
      </c>
      <c r="H4" t="s">
        <v>31</v>
      </c>
      <c r="I4" s="1">
        <v>19535</v>
      </c>
      <c r="J4">
        <v>19535</v>
      </c>
      <c r="K4" t="s">
        <v>32</v>
      </c>
      <c r="M4" t="b">
        <v>1</v>
      </c>
      <c r="N4">
        <v>4</v>
      </c>
      <c r="O4" s="2" t="s">
        <v>33</v>
      </c>
      <c r="P4" t="s">
        <v>24</v>
      </c>
      <c r="Q4" t="s">
        <v>25</v>
      </c>
    </row>
    <row r="5" spans="1:17">
      <c r="A5">
        <v>2021</v>
      </c>
      <c r="B5">
        <v>2020</v>
      </c>
      <c r="C5" t="s">
        <v>17</v>
      </c>
      <c r="D5" t="s">
        <v>18</v>
      </c>
      <c r="E5" t="s">
        <v>34</v>
      </c>
      <c r="F5" s="3" t="s">
        <v>35</v>
      </c>
      <c r="G5" t="s">
        <v>21</v>
      </c>
      <c r="H5" t="s">
        <v>22</v>
      </c>
      <c r="I5" s="1">
        <v>159295</v>
      </c>
      <c r="J5">
        <v>159295</v>
      </c>
      <c r="K5" t="s">
        <v>32</v>
      </c>
      <c r="M5" t="b">
        <v>1</v>
      </c>
      <c r="N5">
        <v>4</v>
      </c>
      <c r="O5">
        <v>153547.625</v>
      </c>
      <c r="P5" t="s">
        <v>36</v>
      </c>
      <c r="Q5" t="s">
        <v>25</v>
      </c>
    </row>
    <row r="6" spans="1:17">
      <c r="A6">
        <v>2022</v>
      </c>
      <c r="B6">
        <v>2020</v>
      </c>
      <c r="C6" t="s">
        <v>17</v>
      </c>
      <c r="D6" t="s">
        <v>18</v>
      </c>
      <c r="E6" t="s">
        <v>34</v>
      </c>
      <c r="F6" s="3" t="s">
        <v>35</v>
      </c>
      <c r="G6" t="s">
        <v>21</v>
      </c>
      <c r="H6" t="s">
        <v>22</v>
      </c>
      <c r="I6" s="1">
        <v>171181</v>
      </c>
      <c r="J6">
        <v>171181</v>
      </c>
      <c r="K6" t="s">
        <v>32</v>
      </c>
      <c r="L6" s="2" t="s">
        <v>37</v>
      </c>
      <c r="M6" t="b">
        <v>1</v>
      </c>
      <c r="N6">
        <v>4</v>
      </c>
      <c r="O6">
        <v>153547.625</v>
      </c>
      <c r="P6" t="s">
        <v>36</v>
      </c>
      <c r="Q6" t="s">
        <v>25</v>
      </c>
    </row>
    <row r="7" spans="1:17">
      <c r="A7">
        <v>2021</v>
      </c>
      <c r="B7">
        <v>2020</v>
      </c>
      <c r="C7" t="s">
        <v>17</v>
      </c>
      <c r="D7" t="s">
        <v>18</v>
      </c>
      <c r="E7" t="s">
        <v>38</v>
      </c>
      <c r="F7" s="3" t="s">
        <v>39</v>
      </c>
      <c r="G7" t="s">
        <v>40</v>
      </c>
      <c r="H7" t="s">
        <v>22</v>
      </c>
      <c r="I7" s="1">
        <v>703716490</v>
      </c>
      <c r="J7">
        <v>703716490</v>
      </c>
      <c r="K7" t="s">
        <v>26</v>
      </c>
      <c r="M7" t="b">
        <v>1</v>
      </c>
      <c r="N7">
        <v>4</v>
      </c>
      <c r="O7">
        <v>703716490</v>
      </c>
      <c r="P7" t="s">
        <v>41</v>
      </c>
      <c r="Q7" t="s">
        <v>25</v>
      </c>
    </row>
    <row r="8" spans="1:17" ht="43.5">
      <c r="A8">
        <v>2021</v>
      </c>
      <c r="B8">
        <v>2020</v>
      </c>
      <c r="C8" t="s">
        <v>17</v>
      </c>
      <c r="D8" t="s">
        <v>18</v>
      </c>
      <c r="E8" t="s">
        <v>42</v>
      </c>
      <c r="F8" s="3" t="s">
        <v>43</v>
      </c>
      <c r="G8" t="s">
        <v>21</v>
      </c>
      <c r="H8" t="s">
        <v>22</v>
      </c>
      <c r="I8" s="1">
        <v>349985</v>
      </c>
      <c r="J8">
        <v>349985</v>
      </c>
      <c r="K8" t="s">
        <v>32</v>
      </c>
      <c r="M8" t="b">
        <v>1</v>
      </c>
      <c r="N8">
        <v>4</v>
      </c>
      <c r="O8">
        <v>88658573</v>
      </c>
      <c r="P8" t="s">
        <v>24</v>
      </c>
      <c r="Q8" t="s">
        <v>25</v>
      </c>
    </row>
    <row r="9" spans="1:17">
      <c r="A9">
        <v>2023</v>
      </c>
      <c r="B9">
        <v>2020</v>
      </c>
      <c r="C9" t="s">
        <v>17</v>
      </c>
      <c r="D9" t="s">
        <v>18</v>
      </c>
      <c r="E9" t="s">
        <v>44</v>
      </c>
      <c r="F9" s="3" t="s">
        <v>45</v>
      </c>
      <c r="G9" t="s">
        <v>40</v>
      </c>
      <c r="H9" t="s">
        <v>22</v>
      </c>
      <c r="I9" s="1">
        <v>1717747000</v>
      </c>
      <c r="J9">
        <v>1717747000</v>
      </c>
      <c r="K9" t="s">
        <v>26</v>
      </c>
      <c r="M9" t="b">
        <v>1</v>
      </c>
      <c r="N9">
        <v>4</v>
      </c>
      <c r="O9">
        <v>769230750</v>
      </c>
      <c r="P9" t="s">
        <v>36</v>
      </c>
      <c r="Q9" t="s">
        <v>25</v>
      </c>
    </row>
    <row r="10" spans="1:17">
      <c r="A10">
        <v>2020</v>
      </c>
      <c r="B10">
        <v>2020</v>
      </c>
      <c r="C10" t="s">
        <v>17</v>
      </c>
      <c r="D10" t="s">
        <v>18</v>
      </c>
      <c r="E10" t="s">
        <v>44</v>
      </c>
      <c r="F10" s="3" t="s">
        <v>45</v>
      </c>
      <c r="G10" t="s">
        <v>40</v>
      </c>
      <c r="H10" t="s">
        <v>22</v>
      </c>
      <c r="I10" s="1">
        <v>633403000</v>
      </c>
      <c r="J10">
        <v>633403000</v>
      </c>
      <c r="K10" t="s">
        <v>26</v>
      </c>
      <c r="L10">
        <v>-63.125943459659602</v>
      </c>
      <c r="M10" t="b">
        <v>1</v>
      </c>
      <c r="N10">
        <v>4</v>
      </c>
      <c r="O10">
        <v>769230750</v>
      </c>
      <c r="P10" t="s">
        <v>36</v>
      </c>
      <c r="Q10" t="s">
        <v>25</v>
      </c>
    </row>
    <row r="11" spans="1:17">
      <c r="A11">
        <v>2022</v>
      </c>
      <c r="B11">
        <v>2020</v>
      </c>
      <c r="C11" t="s">
        <v>17</v>
      </c>
      <c r="D11" t="s">
        <v>18</v>
      </c>
      <c r="E11" t="s">
        <v>28</v>
      </c>
      <c r="F11" s="3" t="s">
        <v>29</v>
      </c>
      <c r="G11" t="s">
        <v>30</v>
      </c>
      <c r="H11" t="s">
        <v>31</v>
      </c>
      <c r="I11" s="1">
        <v>9442</v>
      </c>
      <c r="J11">
        <v>9442</v>
      </c>
      <c r="K11" t="s">
        <v>32</v>
      </c>
      <c r="L11">
        <v>-51.666240081904199</v>
      </c>
      <c r="M11" t="b">
        <v>1</v>
      </c>
      <c r="N11">
        <v>4</v>
      </c>
      <c r="O11" s="2" t="s">
        <v>33</v>
      </c>
      <c r="P11" t="s">
        <v>24</v>
      </c>
      <c r="Q11" t="s">
        <v>25</v>
      </c>
    </row>
    <row r="12" spans="1:17">
      <c r="A12">
        <v>2023</v>
      </c>
      <c r="B12">
        <v>2020</v>
      </c>
      <c r="C12" t="s">
        <v>17</v>
      </c>
      <c r="D12" t="s">
        <v>18</v>
      </c>
      <c r="E12" t="s">
        <v>28</v>
      </c>
      <c r="F12" s="3" t="s">
        <v>29</v>
      </c>
      <c r="G12" t="s">
        <v>30</v>
      </c>
      <c r="H12" t="s">
        <v>31</v>
      </c>
      <c r="I12" s="1">
        <v>9887</v>
      </c>
      <c r="J12">
        <v>9887</v>
      </c>
      <c r="K12" t="s">
        <v>32</v>
      </c>
      <c r="L12" s="2" t="s">
        <v>46</v>
      </c>
      <c r="M12" t="b">
        <v>1</v>
      </c>
      <c r="N12">
        <v>4</v>
      </c>
      <c r="O12" s="2" t="s">
        <v>33</v>
      </c>
      <c r="P12" t="s">
        <v>24</v>
      </c>
      <c r="Q12" t="s">
        <v>25</v>
      </c>
    </row>
    <row r="13" spans="1:17">
      <c r="A13">
        <v>2020</v>
      </c>
      <c r="B13">
        <v>2020</v>
      </c>
      <c r="C13" t="s">
        <v>17</v>
      </c>
      <c r="D13" t="s">
        <v>18</v>
      </c>
      <c r="E13" t="s">
        <v>28</v>
      </c>
      <c r="F13" s="3" t="s">
        <v>29</v>
      </c>
      <c r="G13" t="s">
        <v>30</v>
      </c>
      <c r="H13" t="s">
        <v>31</v>
      </c>
      <c r="I13" s="1">
        <v>7423</v>
      </c>
      <c r="J13">
        <v>7423</v>
      </c>
      <c r="K13" t="s">
        <v>32</v>
      </c>
      <c r="L13">
        <v>-24.921614240922398</v>
      </c>
      <c r="M13" t="b">
        <v>1</v>
      </c>
      <c r="N13">
        <v>4</v>
      </c>
      <c r="O13" s="2" t="s">
        <v>33</v>
      </c>
      <c r="P13" t="s">
        <v>24</v>
      </c>
      <c r="Q13" t="s">
        <v>25</v>
      </c>
    </row>
    <row r="14" spans="1:17" ht="29">
      <c r="A14">
        <v>2022</v>
      </c>
      <c r="B14">
        <v>2020</v>
      </c>
      <c r="C14" t="s">
        <v>17</v>
      </c>
      <c r="D14" t="s">
        <v>18</v>
      </c>
      <c r="E14" t="s">
        <v>47</v>
      </c>
      <c r="F14" s="3" t="s">
        <v>48</v>
      </c>
      <c r="G14" t="s">
        <v>40</v>
      </c>
      <c r="H14" t="s">
        <v>22</v>
      </c>
      <c r="I14" s="1">
        <v>1762107952</v>
      </c>
      <c r="J14">
        <v>1762107952</v>
      </c>
      <c r="K14" t="s">
        <v>26</v>
      </c>
      <c r="M14" t="b">
        <v>1</v>
      </c>
      <c r="N14">
        <v>4</v>
      </c>
      <c r="O14">
        <v>2578410250</v>
      </c>
      <c r="P14" t="s">
        <v>24</v>
      </c>
      <c r="Q14" t="s">
        <v>25</v>
      </c>
    </row>
    <row r="15" spans="1:17" ht="29">
      <c r="A15">
        <v>2023</v>
      </c>
      <c r="B15">
        <v>2020</v>
      </c>
      <c r="C15" t="s">
        <v>17</v>
      </c>
      <c r="D15" t="s">
        <v>18</v>
      </c>
      <c r="E15" t="s">
        <v>47</v>
      </c>
      <c r="F15" s="3" t="s">
        <v>48</v>
      </c>
      <c r="G15" t="s">
        <v>40</v>
      </c>
      <c r="H15" t="s">
        <v>22</v>
      </c>
      <c r="I15" s="1">
        <v>2204386837</v>
      </c>
      <c r="J15">
        <v>2204386837</v>
      </c>
      <c r="K15" t="s">
        <v>26</v>
      </c>
      <c r="L15" s="2" t="s">
        <v>49</v>
      </c>
      <c r="M15" t="b">
        <v>1</v>
      </c>
      <c r="N15">
        <v>4</v>
      </c>
      <c r="O15">
        <v>2578410250</v>
      </c>
      <c r="P15" t="s">
        <v>24</v>
      </c>
      <c r="Q15" t="s">
        <v>25</v>
      </c>
    </row>
    <row r="16" spans="1:17" ht="29">
      <c r="A16">
        <v>2020</v>
      </c>
      <c r="B16">
        <v>2020</v>
      </c>
      <c r="C16" t="s">
        <v>17</v>
      </c>
      <c r="D16" t="s">
        <v>18</v>
      </c>
      <c r="E16" t="s">
        <v>47</v>
      </c>
      <c r="F16" s="3" t="s">
        <v>48</v>
      </c>
      <c r="G16" t="s">
        <v>40</v>
      </c>
      <c r="H16" t="s">
        <v>22</v>
      </c>
      <c r="I16" s="1">
        <v>2391909741</v>
      </c>
      <c r="J16">
        <v>2391909741</v>
      </c>
      <c r="K16" t="s">
        <v>26</v>
      </c>
      <c r="L16" s="2" t="s">
        <v>50</v>
      </c>
      <c r="M16" t="b">
        <v>1</v>
      </c>
      <c r="N16">
        <v>4</v>
      </c>
      <c r="O16">
        <v>2578410250</v>
      </c>
      <c r="P16" t="s">
        <v>24</v>
      </c>
      <c r="Q16" t="s">
        <v>25</v>
      </c>
    </row>
    <row r="17" spans="1:17" ht="29">
      <c r="A17">
        <v>2022</v>
      </c>
      <c r="B17">
        <v>2020</v>
      </c>
      <c r="C17" t="s">
        <v>17</v>
      </c>
      <c r="D17" t="s">
        <v>18</v>
      </c>
      <c r="E17" t="s">
        <v>51</v>
      </c>
      <c r="F17" s="3" t="s">
        <v>52</v>
      </c>
      <c r="G17" t="s">
        <v>30</v>
      </c>
      <c r="H17" t="s">
        <v>22</v>
      </c>
      <c r="I17" s="1">
        <v>703716490</v>
      </c>
      <c r="J17">
        <v>703716490</v>
      </c>
      <c r="K17" t="s">
        <v>26</v>
      </c>
      <c r="M17" t="b">
        <v>1</v>
      </c>
      <c r="N17">
        <v>4</v>
      </c>
      <c r="O17">
        <v>703716490</v>
      </c>
      <c r="P17" t="s">
        <v>41</v>
      </c>
      <c r="Q17" t="s">
        <v>25</v>
      </c>
    </row>
    <row r="18" spans="1:17" ht="29">
      <c r="A18">
        <v>2023</v>
      </c>
      <c r="B18">
        <v>2020</v>
      </c>
      <c r="C18" t="s">
        <v>17</v>
      </c>
      <c r="D18" t="s">
        <v>18</v>
      </c>
      <c r="E18" t="s">
        <v>51</v>
      </c>
      <c r="F18" s="3" t="s">
        <v>52</v>
      </c>
      <c r="G18" t="s">
        <v>30</v>
      </c>
      <c r="H18" t="s">
        <v>22</v>
      </c>
      <c r="I18" s="1">
        <v>703716490</v>
      </c>
      <c r="J18">
        <v>703716490</v>
      </c>
      <c r="K18" t="s">
        <v>26</v>
      </c>
      <c r="L18">
        <v>0</v>
      </c>
      <c r="M18" t="b">
        <v>1</v>
      </c>
      <c r="N18">
        <v>4</v>
      </c>
      <c r="O18">
        <v>703716490</v>
      </c>
      <c r="P18" t="s">
        <v>41</v>
      </c>
      <c r="Q18" t="s">
        <v>25</v>
      </c>
    </row>
    <row r="19" spans="1:17">
      <c r="A19">
        <v>2022</v>
      </c>
      <c r="B19">
        <v>2020</v>
      </c>
      <c r="C19" t="s">
        <v>17</v>
      </c>
      <c r="D19" t="s">
        <v>18</v>
      </c>
      <c r="E19" t="s">
        <v>28</v>
      </c>
      <c r="F19" s="3" t="s">
        <v>29</v>
      </c>
      <c r="G19" t="s">
        <v>30</v>
      </c>
      <c r="H19" t="s">
        <v>31</v>
      </c>
      <c r="I19" s="1">
        <v>8330</v>
      </c>
      <c r="J19">
        <v>8330</v>
      </c>
      <c r="K19" t="s">
        <v>32</v>
      </c>
      <c r="L19">
        <v>12.218779469217299</v>
      </c>
      <c r="M19" t="b">
        <v>1</v>
      </c>
      <c r="N19">
        <v>4</v>
      </c>
      <c r="O19" s="2" t="s">
        <v>33</v>
      </c>
      <c r="P19" t="s">
        <v>24</v>
      </c>
      <c r="Q19" t="s">
        <v>25</v>
      </c>
    </row>
    <row r="20" spans="1:17">
      <c r="A20">
        <v>2023</v>
      </c>
      <c r="B20">
        <v>2020</v>
      </c>
      <c r="C20" t="s">
        <v>17</v>
      </c>
      <c r="D20" t="s">
        <v>18</v>
      </c>
      <c r="E20" t="s">
        <v>28</v>
      </c>
      <c r="F20" s="3" t="s">
        <v>29</v>
      </c>
      <c r="G20" t="s">
        <v>30</v>
      </c>
      <c r="H20" t="s">
        <v>31</v>
      </c>
      <c r="I20" s="1">
        <v>8723</v>
      </c>
      <c r="J20">
        <v>8723</v>
      </c>
      <c r="K20" t="s">
        <v>32</v>
      </c>
      <c r="L20" s="2" t="s">
        <v>53</v>
      </c>
      <c r="M20" t="b">
        <v>1</v>
      </c>
      <c r="N20">
        <v>4</v>
      </c>
      <c r="O20" s="2" t="s">
        <v>33</v>
      </c>
      <c r="P20" t="s">
        <v>24</v>
      </c>
      <c r="Q20" t="s">
        <v>25</v>
      </c>
    </row>
    <row r="21" spans="1:17">
      <c r="A21">
        <v>2020</v>
      </c>
      <c r="B21">
        <v>2020</v>
      </c>
      <c r="C21" t="s">
        <v>17</v>
      </c>
      <c r="D21" t="s">
        <v>18</v>
      </c>
      <c r="E21" t="s">
        <v>38</v>
      </c>
      <c r="F21" s="3" t="s">
        <v>39</v>
      </c>
      <c r="G21" t="s">
        <v>40</v>
      </c>
      <c r="H21" t="s">
        <v>22</v>
      </c>
      <c r="I21" s="1">
        <v>703716490</v>
      </c>
      <c r="J21">
        <v>703716490</v>
      </c>
      <c r="K21" t="s">
        <v>26</v>
      </c>
      <c r="L21">
        <v>0</v>
      </c>
      <c r="M21" t="b">
        <v>1</v>
      </c>
      <c r="N21">
        <v>4</v>
      </c>
      <c r="O21">
        <v>703716490</v>
      </c>
      <c r="P21" t="s">
        <v>41</v>
      </c>
      <c r="Q21" t="s">
        <v>25</v>
      </c>
    </row>
    <row r="22" spans="1:17" ht="43.5">
      <c r="A22">
        <v>2022</v>
      </c>
      <c r="B22">
        <v>2020</v>
      </c>
      <c r="C22" t="s">
        <v>17</v>
      </c>
      <c r="D22" t="s">
        <v>18</v>
      </c>
      <c r="E22" t="s">
        <v>42</v>
      </c>
      <c r="F22" s="3" t="s">
        <v>43</v>
      </c>
      <c r="G22" t="s">
        <v>21</v>
      </c>
      <c r="H22" t="s">
        <v>22</v>
      </c>
      <c r="I22" s="1">
        <v>1938019</v>
      </c>
      <c r="J22">
        <v>1938019</v>
      </c>
      <c r="K22" t="s">
        <v>23</v>
      </c>
      <c r="L22" s="2" t="s">
        <v>54</v>
      </c>
      <c r="M22" t="b">
        <v>1</v>
      </c>
      <c r="N22">
        <v>4</v>
      </c>
      <c r="O22">
        <v>88658573</v>
      </c>
      <c r="P22" t="s">
        <v>24</v>
      </c>
      <c r="Q22" t="s">
        <v>25</v>
      </c>
    </row>
    <row r="23" spans="1:17" ht="43.5">
      <c r="A23">
        <v>2023</v>
      </c>
      <c r="B23">
        <v>2020</v>
      </c>
      <c r="C23" t="s">
        <v>17</v>
      </c>
      <c r="D23" t="s">
        <v>18</v>
      </c>
      <c r="E23" t="s">
        <v>42</v>
      </c>
      <c r="F23" s="3" t="s">
        <v>43</v>
      </c>
      <c r="G23" t="s">
        <v>21</v>
      </c>
      <c r="H23" t="s">
        <v>22</v>
      </c>
      <c r="I23" s="1">
        <v>703716490</v>
      </c>
      <c r="J23">
        <v>703716490</v>
      </c>
      <c r="K23" t="s">
        <v>26</v>
      </c>
      <c r="L23" s="2" t="s">
        <v>55</v>
      </c>
      <c r="M23" t="b">
        <v>1</v>
      </c>
      <c r="N23">
        <v>4</v>
      </c>
      <c r="O23">
        <v>88658573</v>
      </c>
      <c r="P23" t="s">
        <v>24</v>
      </c>
      <c r="Q23" t="s">
        <v>25</v>
      </c>
    </row>
    <row r="24" spans="1:17" ht="43.5">
      <c r="A24">
        <v>2020</v>
      </c>
      <c r="B24">
        <v>2020</v>
      </c>
      <c r="C24" t="s">
        <v>17</v>
      </c>
      <c r="D24" t="s">
        <v>18</v>
      </c>
      <c r="E24" t="s">
        <v>42</v>
      </c>
      <c r="F24" s="3" t="s">
        <v>43</v>
      </c>
      <c r="G24" t="s">
        <v>21</v>
      </c>
      <c r="H24" t="s">
        <v>22</v>
      </c>
      <c r="I24" s="1">
        <v>179901</v>
      </c>
      <c r="J24">
        <v>179901</v>
      </c>
      <c r="K24" t="s">
        <v>32</v>
      </c>
      <c r="L24">
        <v>-99.974435585557998</v>
      </c>
      <c r="M24" t="b">
        <v>1</v>
      </c>
      <c r="N24">
        <v>4</v>
      </c>
      <c r="O24">
        <v>88658573</v>
      </c>
      <c r="P24" t="s">
        <v>24</v>
      </c>
      <c r="Q24" t="s">
        <v>25</v>
      </c>
    </row>
    <row r="25" spans="1:17">
      <c r="A25">
        <v>2023</v>
      </c>
      <c r="B25">
        <v>2020</v>
      </c>
      <c r="C25" t="s">
        <v>17</v>
      </c>
      <c r="D25" t="s">
        <v>18</v>
      </c>
      <c r="E25" t="s">
        <v>56</v>
      </c>
      <c r="F25" s="3" t="s">
        <v>57</v>
      </c>
      <c r="G25" t="s">
        <v>21</v>
      </c>
      <c r="H25" t="s">
        <v>22</v>
      </c>
      <c r="I25" s="1">
        <v>703716490</v>
      </c>
      <c r="J25">
        <v>703716490</v>
      </c>
      <c r="K25" t="s">
        <v>26</v>
      </c>
      <c r="M25" t="b">
        <v>1</v>
      </c>
      <c r="N25">
        <v>4</v>
      </c>
      <c r="O25">
        <v>190634414.125</v>
      </c>
      <c r="P25" t="s">
        <v>24</v>
      </c>
      <c r="Q25" t="s">
        <v>25</v>
      </c>
    </row>
    <row r="26" spans="1:17">
      <c r="A26">
        <v>2020</v>
      </c>
      <c r="B26">
        <v>2020</v>
      </c>
      <c r="C26" t="s">
        <v>17</v>
      </c>
      <c r="D26" t="s">
        <v>18</v>
      </c>
      <c r="E26" t="s">
        <v>56</v>
      </c>
      <c r="F26" s="3" t="s">
        <v>57</v>
      </c>
      <c r="G26" t="s">
        <v>21</v>
      </c>
      <c r="H26" t="s">
        <v>22</v>
      </c>
      <c r="I26" s="1">
        <v>1423529</v>
      </c>
      <c r="J26">
        <v>1423529</v>
      </c>
      <c r="K26" t="s">
        <v>23</v>
      </c>
      <c r="L26">
        <v>-99.797712712402102</v>
      </c>
      <c r="M26" t="b">
        <v>1</v>
      </c>
      <c r="N26">
        <v>4</v>
      </c>
      <c r="O26">
        <v>190634414.125</v>
      </c>
      <c r="P26" t="s">
        <v>24</v>
      </c>
      <c r="Q26" t="s">
        <v>25</v>
      </c>
    </row>
    <row r="27" spans="1:17">
      <c r="A27">
        <v>2021</v>
      </c>
      <c r="B27">
        <v>2020</v>
      </c>
      <c r="C27" t="s">
        <v>17</v>
      </c>
      <c r="D27" t="s">
        <v>18</v>
      </c>
      <c r="E27" t="s">
        <v>56</v>
      </c>
      <c r="F27" s="3" t="s">
        <v>57</v>
      </c>
      <c r="G27" t="s">
        <v>21</v>
      </c>
      <c r="H27" t="s">
        <v>22</v>
      </c>
      <c r="I27" s="1">
        <v>1937403</v>
      </c>
      <c r="J27">
        <v>1937403</v>
      </c>
      <c r="K27" t="s">
        <v>23</v>
      </c>
      <c r="L27" s="2" t="s">
        <v>58</v>
      </c>
      <c r="M27" t="b">
        <v>1</v>
      </c>
      <c r="N27">
        <v>4</v>
      </c>
      <c r="O27">
        <v>190634414.125</v>
      </c>
      <c r="P27" t="s">
        <v>24</v>
      </c>
      <c r="Q27" t="s">
        <v>25</v>
      </c>
    </row>
    <row r="28" spans="1:17">
      <c r="A28">
        <v>2022</v>
      </c>
      <c r="B28">
        <v>2020</v>
      </c>
      <c r="C28" t="s">
        <v>17</v>
      </c>
      <c r="D28" t="s">
        <v>18</v>
      </c>
      <c r="E28" t="s">
        <v>59</v>
      </c>
      <c r="F28" s="3" t="s">
        <v>60</v>
      </c>
      <c r="G28" t="s">
        <v>61</v>
      </c>
      <c r="H28" t="s">
        <v>31</v>
      </c>
      <c r="I28" s="1">
        <v>1771500000</v>
      </c>
      <c r="J28">
        <v>1771500000</v>
      </c>
      <c r="K28" t="s">
        <v>26</v>
      </c>
      <c r="M28" t="b">
        <v>1</v>
      </c>
      <c r="N28">
        <v>4</v>
      </c>
      <c r="O28">
        <v>1289654122.5</v>
      </c>
      <c r="P28" t="s">
        <v>24</v>
      </c>
      <c r="Q28" t="s">
        <v>25</v>
      </c>
    </row>
    <row r="29" spans="1:17">
      <c r="A29">
        <v>2023</v>
      </c>
      <c r="B29">
        <v>2020</v>
      </c>
      <c r="C29" t="s">
        <v>17</v>
      </c>
      <c r="D29" t="s">
        <v>18</v>
      </c>
      <c r="E29" t="s">
        <v>59</v>
      </c>
      <c r="F29" s="3" t="s">
        <v>60</v>
      </c>
      <c r="G29" t="s">
        <v>61</v>
      </c>
      <c r="H29" t="s">
        <v>31</v>
      </c>
      <c r="I29" s="1">
        <v>703716490</v>
      </c>
      <c r="J29">
        <v>703716490</v>
      </c>
      <c r="K29" t="s">
        <v>26</v>
      </c>
      <c r="L29">
        <v>-60.275670900366897</v>
      </c>
      <c r="M29" t="b">
        <v>1</v>
      </c>
      <c r="N29">
        <v>4</v>
      </c>
      <c r="O29">
        <v>1289654122.5</v>
      </c>
      <c r="P29" t="s">
        <v>24</v>
      </c>
      <c r="Q29" t="s">
        <v>25</v>
      </c>
    </row>
    <row r="30" spans="1:17">
      <c r="A30">
        <v>2020</v>
      </c>
      <c r="B30">
        <v>2020</v>
      </c>
      <c r="C30" t="s">
        <v>17</v>
      </c>
      <c r="D30" t="s">
        <v>18</v>
      </c>
      <c r="E30" t="s">
        <v>59</v>
      </c>
      <c r="F30" s="3" t="s">
        <v>60</v>
      </c>
      <c r="G30" t="s">
        <v>61</v>
      </c>
      <c r="H30" t="s">
        <v>31</v>
      </c>
      <c r="I30" s="1">
        <v>1215000000</v>
      </c>
      <c r="J30">
        <v>1215000000</v>
      </c>
      <c r="K30" t="s">
        <v>26</v>
      </c>
      <c r="L30" s="2" t="s">
        <v>62</v>
      </c>
      <c r="M30" t="b">
        <v>1</v>
      </c>
      <c r="N30">
        <v>4</v>
      </c>
      <c r="O30">
        <v>1289654122.5</v>
      </c>
      <c r="P30" t="s">
        <v>24</v>
      </c>
      <c r="Q30" t="s">
        <v>25</v>
      </c>
    </row>
    <row r="31" spans="1:17">
      <c r="A31">
        <v>2022</v>
      </c>
      <c r="B31">
        <v>2020</v>
      </c>
      <c r="C31" t="s">
        <v>17</v>
      </c>
      <c r="D31" t="s">
        <v>18</v>
      </c>
      <c r="E31" t="s">
        <v>56</v>
      </c>
      <c r="F31" s="3" t="s">
        <v>57</v>
      </c>
      <c r="G31" t="s">
        <v>21</v>
      </c>
      <c r="H31" t="s">
        <v>22</v>
      </c>
      <c r="I31" s="1">
        <v>2518340</v>
      </c>
      <c r="J31">
        <v>2518340</v>
      </c>
      <c r="K31" t="s">
        <v>23</v>
      </c>
      <c r="L31" s="2" t="s">
        <v>63</v>
      </c>
      <c r="M31" t="b">
        <v>1</v>
      </c>
      <c r="N31">
        <v>4</v>
      </c>
      <c r="O31">
        <v>190634414.125</v>
      </c>
      <c r="P31" t="s">
        <v>24</v>
      </c>
      <c r="Q31" t="s">
        <v>25</v>
      </c>
    </row>
    <row r="32" spans="1:17">
      <c r="A32">
        <v>2023</v>
      </c>
      <c r="B32">
        <v>2020</v>
      </c>
      <c r="C32" t="s">
        <v>17</v>
      </c>
      <c r="D32" t="s">
        <v>18</v>
      </c>
      <c r="E32" t="s">
        <v>56</v>
      </c>
      <c r="F32" s="3" t="s">
        <v>57</v>
      </c>
      <c r="G32" t="s">
        <v>21</v>
      </c>
      <c r="H32" t="s">
        <v>22</v>
      </c>
      <c r="I32" s="1">
        <v>703716490</v>
      </c>
      <c r="J32">
        <v>703716490</v>
      </c>
      <c r="K32" t="s">
        <v>26</v>
      </c>
      <c r="L32" s="2" t="s">
        <v>64</v>
      </c>
      <c r="M32" t="b">
        <v>1</v>
      </c>
      <c r="N32">
        <v>4</v>
      </c>
      <c r="O32">
        <v>190634414.125</v>
      </c>
      <c r="P32" t="s">
        <v>24</v>
      </c>
      <c r="Q32" t="s">
        <v>25</v>
      </c>
    </row>
    <row r="33" spans="1:17">
      <c r="A33">
        <v>2020</v>
      </c>
      <c r="B33">
        <v>2020</v>
      </c>
      <c r="C33" t="s">
        <v>17</v>
      </c>
      <c r="D33" t="s">
        <v>18</v>
      </c>
      <c r="E33" t="s">
        <v>56</v>
      </c>
      <c r="F33" s="3" t="s">
        <v>57</v>
      </c>
      <c r="G33" t="s">
        <v>21</v>
      </c>
      <c r="H33" t="s">
        <v>22</v>
      </c>
      <c r="I33" s="1">
        <v>5961462</v>
      </c>
      <c r="J33">
        <v>5961462</v>
      </c>
      <c r="K33" t="s">
        <v>23</v>
      </c>
      <c r="L33">
        <v>-99.152860266213096</v>
      </c>
      <c r="M33" t="b">
        <v>1</v>
      </c>
      <c r="N33">
        <v>4</v>
      </c>
      <c r="O33">
        <v>190634414.125</v>
      </c>
      <c r="P33" t="s">
        <v>24</v>
      </c>
      <c r="Q33" t="s">
        <v>25</v>
      </c>
    </row>
    <row r="34" spans="1:17">
      <c r="A34">
        <v>2022</v>
      </c>
      <c r="B34">
        <v>2020</v>
      </c>
      <c r="C34" t="s">
        <v>17</v>
      </c>
      <c r="D34" t="s">
        <v>18</v>
      </c>
      <c r="E34" t="s">
        <v>65</v>
      </c>
      <c r="F34" s="3" t="s">
        <v>66</v>
      </c>
      <c r="G34" t="s">
        <v>30</v>
      </c>
      <c r="H34" t="s">
        <v>22</v>
      </c>
      <c r="I34" s="1">
        <v>809745495</v>
      </c>
      <c r="J34">
        <v>809745495</v>
      </c>
      <c r="K34" t="s">
        <v>26</v>
      </c>
      <c r="M34" t="b">
        <v>1</v>
      </c>
      <c r="N34">
        <v>4</v>
      </c>
      <c r="O34">
        <v>2742906750</v>
      </c>
      <c r="P34" t="s">
        <v>24</v>
      </c>
      <c r="Q34" t="s">
        <v>25</v>
      </c>
    </row>
    <row r="35" spans="1:17">
      <c r="A35">
        <v>2023</v>
      </c>
      <c r="B35">
        <v>2020</v>
      </c>
      <c r="C35" t="s">
        <v>17</v>
      </c>
      <c r="D35" t="s">
        <v>18</v>
      </c>
      <c r="E35" t="s">
        <v>65</v>
      </c>
      <c r="F35" s="3" t="s">
        <v>66</v>
      </c>
      <c r="G35" t="s">
        <v>30</v>
      </c>
      <c r="H35" t="s">
        <v>22</v>
      </c>
      <c r="I35" s="1">
        <v>754824605</v>
      </c>
      <c r="J35">
        <v>754824605</v>
      </c>
      <c r="K35" t="s">
        <v>26</v>
      </c>
      <c r="L35">
        <v>-6.7824878729334603</v>
      </c>
      <c r="M35" t="b">
        <v>1</v>
      </c>
      <c r="N35">
        <v>4</v>
      </c>
      <c r="O35">
        <v>2742906750</v>
      </c>
      <c r="P35" t="s">
        <v>24</v>
      </c>
      <c r="Q35" t="s">
        <v>25</v>
      </c>
    </row>
    <row r="36" spans="1:17">
      <c r="A36">
        <v>2020</v>
      </c>
      <c r="B36">
        <v>2020</v>
      </c>
      <c r="C36" t="s">
        <v>17</v>
      </c>
      <c r="D36" t="s">
        <v>18</v>
      </c>
      <c r="E36" t="s">
        <v>65</v>
      </c>
      <c r="F36" s="3" t="s">
        <v>66</v>
      </c>
      <c r="G36" t="s">
        <v>30</v>
      </c>
      <c r="H36" t="s">
        <v>22</v>
      </c>
      <c r="I36" s="1">
        <v>73988630</v>
      </c>
      <c r="J36">
        <v>73988630</v>
      </c>
      <c r="K36" t="s">
        <v>23</v>
      </c>
      <c r="L36">
        <v>-90.197904319772405</v>
      </c>
      <c r="M36" t="b">
        <v>1</v>
      </c>
      <c r="N36">
        <v>4</v>
      </c>
      <c r="O36">
        <v>2742906750</v>
      </c>
      <c r="P36" t="s">
        <v>24</v>
      </c>
      <c r="Q36" t="s">
        <v>25</v>
      </c>
    </row>
    <row r="37" spans="1:17">
      <c r="A37">
        <v>2022</v>
      </c>
      <c r="B37">
        <v>2020</v>
      </c>
      <c r="C37" t="s">
        <v>17</v>
      </c>
      <c r="D37" t="s">
        <v>18</v>
      </c>
      <c r="E37" t="s">
        <v>67</v>
      </c>
      <c r="F37" s="3" t="s">
        <v>68</v>
      </c>
      <c r="G37" t="s">
        <v>61</v>
      </c>
      <c r="H37" t="s">
        <v>31</v>
      </c>
      <c r="I37" s="1">
        <v>703716490</v>
      </c>
      <c r="J37">
        <v>703716490</v>
      </c>
      <c r="K37" t="s">
        <v>26</v>
      </c>
      <c r="M37" t="b">
        <v>1</v>
      </c>
      <c r="N37">
        <v>4</v>
      </c>
      <c r="O37">
        <v>703716490</v>
      </c>
      <c r="P37" t="s">
        <v>41</v>
      </c>
      <c r="Q37" t="s">
        <v>25</v>
      </c>
    </row>
    <row r="38" spans="1:17">
      <c r="A38">
        <v>2023</v>
      </c>
      <c r="B38">
        <v>2020</v>
      </c>
      <c r="C38" t="s">
        <v>17</v>
      </c>
      <c r="D38" t="s">
        <v>18</v>
      </c>
      <c r="E38" t="s">
        <v>67</v>
      </c>
      <c r="F38" s="3" t="s">
        <v>68</v>
      </c>
      <c r="G38" t="s">
        <v>61</v>
      </c>
      <c r="H38" t="s">
        <v>31</v>
      </c>
      <c r="I38" s="1">
        <v>703716490</v>
      </c>
      <c r="J38">
        <v>703716490</v>
      </c>
      <c r="K38" t="s">
        <v>26</v>
      </c>
      <c r="L38">
        <v>0</v>
      </c>
      <c r="M38" t="b">
        <v>1</v>
      </c>
      <c r="N38">
        <v>4</v>
      </c>
      <c r="O38">
        <v>703716490</v>
      </c>
      <c r="P38" t="s">
        <v>41</v>
      </c>
      <c r="Q38" t="s">
        <v>25</v>
      </c>
    </row>
    <row r="39" spans="1:17">
      <c r="A39">
        <v>2020</v>
      </c>
      <c r="B39">
        <v>2020</v>
      </c>
      <c r="C39" t="s">
        <v>17</v>
      </c>
      <c r="D39" t="s">
        <v>18</v>
      </c>
      <c r="E39" t="s">
        <v>67</v>
      </c>
      <c r="F39" s="3" t="s">
        <v>68</v>
      </c>
      <c r="G39" t="s">
        <v>61</v>
      </c>
      <c r="H39" t="s">
        <v>31</v>
      </c>
      <c r="I39" s="1">
        <v>703716490</v>
      </c>
      <c r="J39">
        <v>703716490</v>
      </c>
      <c r="K39" t="s">
        <v>26</v>
      </c>
      <c r="L39">
        <v>0</v>
      </c>
      <c r="M39" t="b">
        <v>1</v>
      </c>
      <c r="N39">
        <v>4</v>
      </c>
      <c r="O39">
        <v>703716490</v>
      </c>
      <c r="P39" t="s">
        <v>41</v>
      </c>
      <c r="Q39" t="s">
        <v>25</v>
      </c>
    </row>
    <row r="40" spans="1:17">
      <c r="A40">
        <v>2022</v>
      </c>
      <c r="B40">
        <v>2020</v>
      </c>
      <c r="C40" t="s">
        <v>17</v>
      </c>
      <c r="D40" t="s">
        <v>18</v>
      </c>
      <c r="E40" t="s">
        <v>69</v>
      </c>
      <c r="F40" s="3" t="s">
        <v>70</v>
      </c>
      <c r="G40" t="s">
        <v>21</v>
      </c>
      <c r="H40" t="s">
        <v>22</v>
      </c>
      <c r="I40" s="1">
        <v>703716490</v>
      </c>
      <c r="J40">
        <v>703716490</v>
      </c>
      <c r="K40" t="s">
        <v>26</v>
      </c>
      <c r="M40" t="b">
        <v>1</v>
      </c>
      <c r="N40">
        <v>4</v>
      </c>
      <c r="O40">
        <v>703716490</v>
      </c>
      <c r="P40" t="s">
        <v>41</v>
      </c>
      <c r="Q40" t="s">
        <v>25</v>
      </c>
    </row>
    <row r="41" spans="1:17">
      <c r="A41">
        <v>2023</v>
      </c>
      <c r="B41">
        <v>2020</v>
      </c>
      <c r="C41" t="s">
        <v>17</v>
      </c>
      <c r="D41" t="s">
        <v>18</v>
      </c>
      <c r="E41" t="s">
        <v>69</v>
      </c>
      <c r="F41" s="3" t="s">
        <v>70</v>
      </c>
      <c r="G41" t="s">
        <v>21</v>
      </c>
      <c r="H41" t="s">
        <v>22</v>
      </c>
      <c r="I41" s="1">
        <v>703716490</v>
      </c>
      <c r="J41">
        <v>703716490</v>
      </c>
      <c r="K41" t="s">
        <v>26</v>
      </c>
      <c r="L41">
        <v>0</v>
      </c>
      <c r="M41" t="b">
        <v>1</v>
      </c>
      <c r="N41">
        <v>4</v>
      </c>
      <c r="O41">
        <v>703716490</v>
      </c>
      <c r="P41" t="s">
        <v>41</v>
      </c>
      <c r="Q41" t="s">
        <v>25</v>
      </c>
    </row>
    <row r="42" spans="1:17">
      <c r="A42">
        <v>2020</v>
      </c>
      <c r="B42">
        <v>2020</v>
      </c>
      <c r="C42" t="s">
        <v>17</v>
      </c>
      <c r="D42" t="s">
        <v>18</v>
      </c>
      <c r="E42" t="s">
        <v>69</v>
      </c>
      <c r="F42" s="3" t="s">
        <v>70</v>
      </c>
      <c r="G42" t="s">
        <v>21</v>
      </c>
      <c r="H42" t="s">
        <v>22</v>
      </c>
      <c r="I42" s="1">
        <v>703716490</v>
      </c>
      <c r="J42">
        <v>703716490</v>
      </c>
      <c r="K42" t="s">
        <v>26</v>
      </c>
      <c r="L42">
        <v>0</v>
      </c>
      <c r="M42" t="b">
        <v>1</v>
      </c>
      <c r="N42">
        <v>4</v>
      </c>
      <c r="O42">
        <v>703716490</v>
      </c>
      <c r="P42" t="s">
        <v>41</v>
      </c>
      <c r="Q42" t="s">
        <v>25</v>
      </c>
    </row>
    <row r="43" spans="1:17">
      <c r="A43">
        <v>2023</v>
      </c>
      <c r="B43">
        <v>2020</v>
      </c>
      <c r="C43" t="s">
        <v>17</v>
      </c>
      <c r="D43" t="s">
        <v>18</v>
      </c>
      <c r="E43" t="s">
        <v>34</v>
      </c>
      <c r="F43" s="3" t="s">
        <v>35</v>
      </c>
      <c r="G43" t="s">
        <v>21</v>
      </c>
      <c r="H43" t="s">
        <v>22</v>
      </c>
      <c r="I43" s="1">
        <v>157924</v>
      </c>
      <c r="J43">
        <v>157924</v>
      </c>
      <c r="K43" t="s">
        <v>32</v>
      </c>
      <c r="L43">
        <v>-7.7444342538015301</v>
      </c>
      <c r="M43" t="b">
        <v>1</v>
      </c>
      <c r="N43">
        <v>4</v>
      </c>
      <c r="O43">
        <v>153547.625</v>
      </c>
      <c r="P43" t="s">
        <v>36</v>
      </c>
      <c r="Q43" t="s">
        <v>25</v>
      </c>
    </row>
    <row r="44" spans="1:17">
      <c r="A44">
        <v>2022</v>
      </c>
      <c r="B44">
        <v>2020</v>
      </c>
      <c r="C44" t="s">
        <v>17</v>
      </c>
      <c r="D44" t="s">
        <v>18</v>
      </c>
      <c r="E44" t="s">
        <v>44</v>
      </c>
      <c r="F44" s="3" t="s">
        <v>45</v>
      </c>
      <c r="G44" t="s">
        <v>40</v>
      </c>
      <c r="H44" t="s">
        <v>22</v>
      </c>
      <c r="I44" s="1">
        <v>557796000</v>
      </c>
      <c r="J44">
        <v>557796000</v>
      </c>
      <c r="K44" t="s">
        <v>26</v>
      </c>
      <c r="L44">
        <v>-11.936634338643801</v>
      </c>
      <c r="M44" t="b">
        <v>1</v>
      </c>
      <c r="N44">
        <v>4</v>
      </c>
      <c r="O44">
        <v>769230750</v>
      </c>
      <c r="P44" t="s">
        <v>36</v>
      </c>
      <c r="Q44" t="s">
        <v>25</v>
      </c>
    </row>
    <row r="45" spans="1:17">
      <c r="A45">
        <v>2022</v>
      </c>
      <c r="B45">
        <v>2020</v>
      </c>
      <c r="C45" t="s">
        <v>17</v>
      </c>
      <c r="D45" t="s">
        <v>18</v>
      </c>
      <c r="E45" t="s">
        <v>71</v>
      </c>
      <c r="F45" s="3" t="s">
        <v>72</v>
      </c>
      <c r="G45" t="s">
        <v>21</v>
      </c>
      <c r="H45" t="s">
        <v>22</v>
      </c>
      <c r="I45" s="1">
        <v>79051739</v>
      </c>
      <c r="J45">
        <v>79051739</v>
      </c>
      <c r="K45" t="s">
        <v>23</v>
      </c>
      <c r="M45" t="b">
        <v>1</v>
      </c>
      <c r="N45">
        <v>4</v>
      </c>
      <c r="O45">
        <v>140908336.375</v>
      </c>
      <c r="P45" t="s">
        <v>24</v>
      </c>
      <c r="Q45" t="s">
        <v>25</v>
      </c>
    </row>
    <row r="46" spans="1:17">
      <c r="A46">
        <v>2023</v>
      </c>
      <c r="B46">
        <v>2020</v>
      </c>
      <c r="C46" t="s">
        <v>17</v>
      </c>
      <c r="D46" t="s">
        <v>18</v>
      </c>
      <c r="E46" t="s">
        <v>71</v>
      </c>
      <c r="F46" s="3" t="s">
        <v>72</v>
      </c>
      <c r="G46" t="s">
        <v>21</v>
      </c>
      <c r="H46" t="s">
        <v>22</v>
      </c>
      <c r="I46" s="1">
        <v>703716490</v>
      </c>
      <c r="J46">
        <v>703716490</v>
      </c>
      <c r="K46" t="s">
        <v>26</v>
      </c>
      <c r="L46" s="2" t="s">
        <v>73</v>
      </c>
      <c r="M46" t="b">
        <v>1</v>
      </c>
      <c r="N46">
        <v>4</v>
      </c>
      <c r="O46">
        <v>140908336.375</v>
      </c>
      <c r="P46" t="s">
        <v>24</v>
      </c>
      <c r="Q46" t="s">
        <v>25</v>
      </c>
    </row>
    <row r="47" spans="1:17">
      <c r="A47">
        <v>2020</v>
      </c>
      <c r="B47">
        <v>2020</v>
      </c>
      <c r="C47" t="s">
        <v>17</v>
      </c>
      <c r="D47" t="s">
        <v>18</v>
      </c>
      <c r="E47" t="s">
        <v>71</v>
      </c>
      <c r="F47" s="3" t="s">
        <v>72</v>
      </c>
      <c r="G47" t="s">
        <v>21</v>
      </c>
      <c r="H47" t="s">
        <v>22</v>
      </c>
      <c r="I47" s="1">
        <v>50020000</v>
      </c>
      <c r="J47">
        <v>50020000</v>
      </c>
      <c r="K47" t="s">
        <v>23</v>
      </c>
      <c r="L47">
        <v>-92.892023888767994</v>
      </c>
      <c r="M47" t="b">
        <v>1</v>
      </c>
      <c r="N47">
        <v>4</v>
      </c>
      <c r="O47">
        <v>140908336.375</v>
      </c>
      <c r="P47" t="s">
        <v>24</v>
      </c>
      <c r="Q47" t="s">
        <v>25</v>
      </c>
    </row>
    <row r="48" spans="1:17">
      <c r="A48">
        <v>2022</v>
      </c>
      <c r="B48">
        <v>2020</v>
      </c>
      <c r="C48" t="s">
        <v>17</v>
      </c>
      <c r="D48" t="s">
        <v>18</v>
      </c>
      <c r="E48" t="s">
        <v>28</v>
      </c>
      <c r="F48" s="3" t="s">
        <v>29</v>
      </c>
      <c r="G48" t="s">
        <v>30</v>
      </c>
      <c r="H48" t="s">
        <v>31</v>
      </c>
      <c r="I48" s="1">
        <v>299410</v>
      </c>
      <c r="J48">
        <v>299410</v>
      </c>
      <c r="K48" t="s">
        <v>32</v>
      </c>
      <c r="L48" s="2" t="s">
        <v>74</v>
      </c>
      <c r="M48" t="b">
        <v>1</v>
      </c>
      <c r="N48">
        <v>4</v>
      </c>
      <c r="O48" s="2" t="s">
        <v>33</v>
      </c>
      <c r="P48" t="s">
        <v>24</v>
      </c>
      <c r="Q48" t="s">
        <v>25</v>
      </c>
    </row>
    <row r="49" spans="1:17">
      <c r="A49">
        <v>2023</v>
      </c>
      <c r="B49">
        <v>2020</v>
      </c>
      <c r="C49" t="s">
        <v>17</v>
      </c>
      <c r="D49" t="s">
        <v>18</v>
      </c>
      <c r="E49" t="s">
        <v>28</v>
      </c>
      <c r="F49" s="3" t="s">
        <v>29</v>
      </c>
      <c r="G49" t="s">
        <v>30</v>
      </c>
      <c r="H49" t="s">
        <v>31</v>
      </c>
      <c r="I49" s="1">
        <v>313526</v>
      </c>
      <c r="J49">
        <v>313526</v>
      </c>
      <c r="K49" t="s">
        <v>32</v>
      </c>
      <c r="L49" s="2" t="s">
        <v>75</v>
      </c>
      <c r="M49" t="b">
        <v>1</v>
      </c>
      <c r="N49">
        <v>4</v>
      </c>
      <c r="O49" s="2" t="s">
        <v>33</v>
      </c>
      <c r="P49" t="s">
        <v>24</v>
      </c>
      <c r="Q49" t="s">
        <v>25</v>
      </c>
    </row>
    <row r="50" spans="1:17">
      <c r="A50">
        <v>2020</v>
      </c>
      <c r="B50">
        <v>2020</v>
      </c>
      <c r="C50" t="s">
        <v>17</v>
      </c>
      <c r="D50" t="s">
        <v>18</v>
      </c>
      <c r="E50" t="s">
        <v>28</v>
      </c>
      <c r="F50" s="3" t="s">
        <v>29</v>
      </c>
      <c r="G50" t="s">
        <v>30</v>
      </c>
      <c r="H50" t="s">
        <v>31</v>
      </c>
      <c r="I50" s="1">
        <v>256548</v>
      </c>
      <c r="J50">
        <v>256548</v>
      </c>
      <c r="K50" t="s">
        <v>32</v>
      </c>
      <c r="L50">
        <v>-18.173293442967999</v>
      </c>
      <c r="M50" t="b">
        <v>1</v>
      </c>
      <c r="N50">
        <v>4</v>
      </c>
      <c r="O50" s="2" t="s">
        <v>33</v>
      </c>
      <c r="P50" t="s">
        <v>24</v>
      </c>
      <c r="Q50" t="s">
        <v>25</v>
      </c>
    </row>
    <row r="51" spans="1:17" ht="43.5">
      <c r="A51">
        <v>2022</v>
      </c>
      <c r="B51">
        <v>2020</v>
      </c>
      <c r="C51" t="s">
        <v>17</v>
      </c>
      <c r="D51" t="s">
        <v>18</v>
      </c>
      <c r="E51" t="s">
        <v>42</v>
      </c>
      <c r="F51" s="3" t="s">
        <v>43</v>
      </c>
      <c r="G51" t="s">
        <v>21</v>
      </c>
      <c r="H51" t="s">
        <v>22</v>
      </c>
      <c r="I51" s="1">
        <v>690786</v>
      </c>
      <c r="J51">
        <v>690786</v>
      </c>
      <c r="K51" t="s">
        <v>32</v>
      </c>
      <c r="L51" s="2" t="s">
        <v>76</v>
      </c>
      <c r="M51" t="b">
        <v>1</v>
      </c>
      <c r="N51">
        <v>4</v>
      </c>
      <c r="O51">
        <v>88658573</v>
      </c>
      <c r="P51" t="s">
        <v>24</v>
      </c>
      <c r="Q51" t="s">
        <v>25</v>
      </c>
    </row>
    <row r="52" spans="1:17" ht="43.5">
      <c r="A52">
        <v>2023</v>
      </c>
      <c r="B52">
        <v>2020</v>
      </c>
      <c r="C52" t="s">
        <v>17</v>
      </c>
      <c r="D52" t="s">
        <v>18</v>
      </c>
      <c r="E52" t="s">
        <v>42</v>
      </c>
      <c r="F52" s="3" t="s">
        <v>43</v>
      </c>
      <c r="G52" t="s">
        <v>21</v>
      </c>
      <c r="H52" t="s">
        <v>22</v>
      </c>
      <c r="I52" s="1">
        <v>2146469</v>
      </c>
      <c r="J52">
        <v>2146469</v>
      </c>
      <c r="K52" t="s">
        <v>23</v>
      </c>
      <c r="L52" s="2" t="s">
        <v>77</v>
      </c>
      <c r="M52" t="b">
        <v>1</v>
      </c>
      <c r="N52">
        <v>4</v>
      </c>
      <c r="O52">
        <v>88658573</v>
      </c>
      <c r="P52" t="s">
        <v>24</v>
      </c>
      <c r="Q52" t="s">
        <v>25</v>
      </c>
    </row>
    <row r="53" spans="1:17" ht="43.5">
      <c r="A53">
        <v>2020</v>
      </c>
      <c r="B53">
        <v>2020</v>
      </c>
      <c r="C53" t="s">
        <v>17</v>
      </c>
      <c r="D53" t="s">
        <v>18</v>
      </c>
      <c r="E53" t="s">
        <v>42</v>
      </c>
      <c r="F53" s="3" t="s">
        <v>43</v>
      </c>
      <c r="G53" t="s">
        <v>21</v>
      </c>
      <c r="H53" t="s">
        <v>22</v>
      </c>
      <c r="I53" s="1">
        <v>110432</v>
      </c>
      <c r="J53">
        <v>110432</v>
      </c>
      <c r="K53" t="s">
        <v>32</v>
      </c>
      <c r="L53">
        <v>-94.855178434908595</v>
      </c>
      <c r="M53" t="b">
        <v>1</v>
      </c>
      <c r="N53">
        <v>4</v>
      </c>
      <c r="O53">
        <v>88658573</v>
      </c>
      <c r="P53" t="s">
        <v>24</v>
      </c>
      <c r="Q53" t="s">
        <v>25</v>
      </c>
    </row>
    <row r="54" spans="1:17">
      <c r="A54">
        <v>2022</v>
      </c>
      <c r="B54">
        <v>2020</v>
      </c>
      <c r="C54" t="s">
        <v>17</v>
      </c>
      <c r="D54" t="s">
        <v>18</v>
      </c>
      <c r="E54" t="s">
        <v>78</v>
      </c>
      <c r="F54" s="3" t="s">
        <v>79</v>
      </c>
      <c r="G54" t="s">
        <v>61</v>
      </c>
      <c r="H54" t="s">
        <v>31</v>
      </c>
      <c r="I54" s="1">
        <v>864041149</v>
      </c>
      <c r="J54">
        <v>864041149</v>
      </c>
      <c r="K54" t="s">
        <v>26</v>
      </c>
      <c r="M54" t="b">
        <v>1</v>
      </c>
      <c r="N54">
        <v>4</v>
      </c>
      <c r="O54">
        <v>738429122.5</v>
      </c>
      <c r="P54" t="s">
        <v>36</v>
      </c>
      <c r="Q54" t="s">
        <v>25</v>
      </c>
    </row>
    <row r="55" spans="1:17">
      <c r="A55">
        <v>2023</v>
      </c>
      <c r="B55">
        <v>2020</v>
      </c>
      <c r="C55" t="s">
        <v>17</v>
      </c>
      <c r="D55" t="s">
        <v>18</v>
      </c>
      <c r="E55" t="s">
        <v>78</v>
      </c>
      <c r="F55" s="3" t="s">
        <v>79</v>
      </c>
      <c r="G55" t="s">
        <v>61</v>
      </c>
      <c r="H55" t="s">
        <v>31</v>
      </c>
      <c r="I55" s="1">
        <v>703716490</v>
      </c>
      <c r="J55">
        <v>703716490</v>
      </c>
      <c r="K55" t="s">
        <v>26</v>
      </c>
      <c r="L55">
        <v>-18.555211078263099</v>
      </c>
      <c r="M55" t="b">
        <v>1</v>
      </c>
      <c r="N55">
        <v>4</v>
      </c>
      <c r="O55">
        <v>738429122.5</v>
      </c>
      <c r="P55" t="s">
        <v>36</v>
      </c>
      <c r="Q55" t="s">
        <v>25</v>
      </c>
    </row>
    <row r="56" spans="1:17">
      <c r="A56">
        <v>2020</v>
      </c>
      <c r="B56">
        <v>2020</v>
      </c>
      <c r="C56" t="s">
        <v>17</v>
      </c>
      <c r="D56" t="s">
        <v>18</v>
      </c>
      <c r="E56" t="s">
        <v>78</v>
      </c>
      <c r="F56" s="3" t="s">
        <v>79</v>
      </c>
      <c r="G56" t="s">
        <v>61</v>
      </c>
      <c r="H56" t="s">
        <v>31</v>
      </c>
      <c r="I56" s="1">
        <v>921168645</v>
      </c>
      <c r="J56">
        <v>921168645</v>
      </c>
      <c r="K56" t="s">
        <v>26</v>
      </c>
      <c r="L56" s="2" t="s">
        <v>80</v>
      </c>
      <c r="M56" t="b">
        <v>1</v>
      </c>
      <c r="N56">
        <v>4</v>
      </c>
      <c r="O56">
        <v>738429122.5</v>
      </c>
      <c r="P56" t="s">
        <v>36</v>
      </c>
      <c r="Q56" t="s">
        <v>25</v>
      </c>
    </row>
    <row r="57" spans="1:17">
      <c r="A57">
        <v>2022</v>
      </c>
      <c r="B57">
        <v>2020</v>
      </c>
      <c r="C57" t="s">
        <v>17</v>
      </c>
      <c r="D57" t="s">
        <v>18</v>
      </c>
      <c r="E57" t="s">
        <v>67</v>
      </c>
      <c r="F57" s="3" t="s">
        <v>68</v>
      </c>
      <c r="G57" t="s">
        <v>61</v>
      </c>
      <c r="H57" t="s">
        <v>31</v>
      </c>
      <c r="I57" s="1">
        <v>703716490</v>
      </c>
      <c r="J57">
        <v>703716490</v>
      </c>
      <c r="K57" t="s">
        <v>26</v>
      </c>
      <c r="L57">
        <v>0</v>
      </c>
      <c r="M57" t="b">
        <v>1</v>
      </c>
      <c r="N57">
        <v>4</v>
      </c>
      <c r="O57">
        <v>703716490</v>
      </c>
      <c r="P57" t="s">
        <v>41</v>
      </c>
      <c r="Q57" t="s">
        <v>25</v>
      </c>
    </row>
    <row r="58" spans="1:17">
      <c r="A58">
        <v>2023</v>
      </c>
      <c r="B58">
        <v>2020</v>
      </c>
      <c r="C58" t="s">
        <v>17</v>
      </c>
      <c r="D58" t="s">
        <v>18</v>
      </c>
      <c r="E58" t="s">
        <v>67</v>
      </c>
      <c r="F58" s="3" t="s">
        <v>68</v>
      </c>
      <c r="G58" t="s">
        <v>61</v>
      </c>
      <c r="H58" t="s">
        <v>31</v>
      </c>
      <c r="I58" s="1">
        <v>703716490</v>
      </c>
      <c r="J58">
        <v>703716490</v>
      </c>
      <c r="K58" t="s">
        <v>26</v>
      </c>
      <c r="L58">
        <v>0</v>
      </c>
      <c r="M58" t="b">
        <v>1</v>
      </c>
      <c r="N58">
        <v>4</v>
      </c>
      <c r="O58">
        <v>703716490</v>
      </c>
      <c r="P58" t="s">
        <v>41</v>
      </c>
      <c r="Q58" t="s">
        <v>25</v>
      </c>
    </row>
    <row r="59" spans="1:17">
      <c r="A59">
        <v>2020</v>
      </c>
      <c r="B59">
        <v>2020</v>
      </c>
      <c r="C59" t="s">
        <v>17</v>
      </c>
      <c r="D59" t="s">
        <v>18</v>
      </c>
      <c r="E59" t="s">
        <v>67</v>
      </c>
      <c r="F59" s="3" t="s">
        <v>68</v>
      </c>
      <c r="G59" t="s">
        <v>61</v>
      </c>
      <c r="H59" t="s">
        <v>31</v>
      </c>
      <c r="I59" s="1">
        <v>703716490</v>
      </c>
      <c r="J59">
        <v>703716490</v>
      </c>
      <c r="K59" t="s">
        <v>26</v>
      </c>
      <c r="L59">
        <v>0</v>
      </c>
      <c r="M59" t="b">
        <v>1</v>
      </c>
      <c r="N59">
        <v>4</v>
      </c>
      <c r="O59">
        <v>703716490</v>
      </c>
      <c r="P59" t="s">
        <v>41</v>
      </c>
      <c r="Q59" t="s">
        <v>25</v>
      </c>
    </row>
    <row r="60" spans="1:17">
      <c r="A60">
        <v>2022</v>
      </c>
      <c r="B60">
        <v>2020</v>
      </c>
      <c r="C60" t="s">
        <v>17</v>
      </c>
      <c r="D60" t="s">
        <v>18</v>
      </c>
      <c r="E60" t="s">
        <v>28</v>
      </c>
      <c r="F60" s="3" t="s">
        <v>29</v>
      </c>
      <c r="G60" t="s">
        <v>30</v>
      </c>
      <c r="H60" t="s">
        <v>31</v>
      </c>
      <c r="I60" s="1">
        <v>6950</v>
      </c>
      <c r="J60">
        <v>6950</v>
      </c>
      <c r="K60" t="s">
        <v>32</v>
      </c>
      <c r="L60">
        <v>-97.290955298813401</v>
      </c>
      <c r="M60" t="b">
        <v>1</v>
      </c>
      <c r="N60">
        <v>4</v>
      </c>
      <c r="O60" s="2" t="s">
        <v>33</v>
      </c>
      <c r="P60" t="s">
        <v>24</v>
      </c>
      <c r="Q60" t="s">
        <v>25</v>
      </c>
    </row>
    <row r="61" spans="1:17">
      <c r="A61">
        <v>2023</v>
      </c>
      <c r="B61">
        <v>2020</v>
      </c>
      <c r="C61" t="s">
        <v>17</v>
      </c>
      <c r="D61" t="s">
        <v>18</v>
      </c>
      <c r="E61" t="s">
        <v>28</v>
      </c>
      <c r="F61" s="3" t="s">
        <v>29</v>
      </c>
      <c r="G61" t="s">
        <v>30</v>
      </c>
      <c r="H61" t="s">
        <v>31</v>
      </c>
      <c r="I61" s="1">
        <v>7277</v>
      </c>
      <c r="J61">
        <v>7277</v>
      </c>
      <c r="K61" t="s">
        <v>32</v>
      </c>
      <c r="L61" s="2" t="s">
        <v>81</v>
      </c>
      <c r="M61" t="b">
        <v>1</v>
      </c>
      <c r="N61">
        <v>4</v>
      </c>
      <c r="O61" s="2" t="s">
        <v>33</v>
      </c>
      <c r="P61" t="s">
        <v>24</v>
      </c>
      <c r="Q61" t="s">
        <v>25</v>
      </c>
    </row>
    <row r="62" spans="1:17">
      <c r="A62">
        <v>2020</v>
      </c>
      <c r="B62">
        <v>2020</v>
      </c>
      <c r="C62" t="s">
        <v>17</v>
      </c>
      <c r="D62" t="s">
        <v>18</v>
      </c>
      <c r="E62" t="s">
        <v>28</v>
      </c>
      <c r="F62" s="3" t="s">
        <v>29</v>
      </c>
      <c r="G62" t="s">
        <v>30</v>
      </c>
      <c r="H62" t="s">
        <v>31</v>
      </c>
      <c r="I62" s="1">
        <v>4665</v>
      </c>
      <c r="J62">
        <v>4665</v>
      </c>
      <c r="K62" t="s">
        <v>32</v>
      </c>
      <c r="L62">
        <v>-35.893912326508101</v>
      </c>
      <c r="M62" t="b">
        <v>1</v>
      </c>
      <c r="N62">
        <v>4</v>
      </c>
      <c r="O62" s="2" t="s">
        <v>33</v>
      </c>
      <c r="P62" t="s">
        <v>24</v>
      </c>
      <c r="Q62" t="s">
        <v>25</v>
      </c>
    </row>
    <row r="63" spans="1:17">
      <c r="A63">
        <v>2022</v>
      </c>
      <c r="B63">
        <v>2020</v>
      </c>
      <c r="C63" t="s">
        <v>17</v>
      </c>
      <c r="D63" t="s">
        <v>18</v>
      </c>
      <c r="E63" t="s">
        <v>82</v>
      </c>
      <c r="F63" s="3" t="s">
        <v>83</v>
      </c>
      <c r="G63" t="s">
        <v>21</v>
      </c>
      <c r="H63" t="s">
        <v>22</v>
      </c>
      <c r="I63" s="1">
        <v>2930865</v>
      </c>
      <c r="J63">
        <v>2930865</v>
      </c>
      <c r="K63" t="s">
        <v>23</v>
      </c>
      <c r="M63" t="b">
        <v>1</v>
      </c>
      <c r="N63">
        <v>4</v>
      </c>
      <c r="O63">
        <v>2167758.375</v>
      </c>
      <c r="P63" t="s">
        <v>24</v>
      </c>
      <c r="Q63" t="s">
        <v>25</v>
      </c>
    </row>
    <row r="64" spans="1:17">
      <c r="A64">
        <v>2023</v>
      </c>
      <c r="B64">
        <v>2020</v>
      </c>
      <c r="C64" t="s">
        <v>17</v>
      </c>
      <c r="D64" t="s">
        <v>18</v>
      </c>
      <c r="E64" t="s">
        <v>82</v>
      </c>
      <c r="F64" s="3" t="s">
        <v>83</v>
      </c>
      <c r="G64" t="s">
        <v>21</v>
      </c>
      <c r="H64" t="s">
        <v>22</v>
      </c>
      <c r="I64" s="1">
        <v>2147166</v>
      </c>
      <c r="J64">
        <v>2147166</v>
      </c>
      <c r="K64" t="s">
        <v>23</v>
      </c>
      <c r="L64">
        <v>-26.739512055314702</v>
      </c>
      <c r="M64" t="b">
        <v>1</v>
      </c>
      <c r="N64">
        <v>4</v>
      </c>
      <c r="O64">
        <v>2167758.375</v>
      </c>
      <c r="P64" t="s">
        <v>24</v>
      </c>
      <c r="Q64" t="s">
        <v>25</v>
      </c>
    </row>
    <row r="65" spans="1:17">
      <c r="A65">
        <v>2020</v>
      </c>
      <c r="B65">
        <v>2020</v>
      </c>
      <c r="C65" t="s">
        <v>17</v>
      </c>
      <c r="D65" t="s">
        <v>18</v>
      </c>
      <c r="E65" t="s">
        <v>82</v>
      </c>
      <c r="F65" s="3" t="s">
        <v>83</v>
      </c>
      <c r="G65" t="s">
        <v>21</v>
      </c>
      <c r="H65" t="s">
        <v>22</v>
      </c>
      <c r="I65" s="1">
        <v>1364589</v>
      </c>
      <c r="J65">
        <v>1364589</v>
      </c>
      <c r="K65" t="s">
        <v>23</v>
      </c>
      <c r="L65">
        <v>-36.446972427842098</v>
      </c>
      <c r="M65" t="b">
        <v>1</v>
      </c>
      <c r="N65">
        <v>4</v>
      </c>
      <c r="O65">
        <v>2167758.375</v>
      </c>
      <c r="P65" t="s">
        <v>24</v>
      </c>
      <c r="Q65" t="s">
        <v>25</v>
      </c>
    </row>
    <row r="66" spans="1:17">
      <c r="A66">
        <v>2021</v>
      </c>
      <c r="B66">
        <v>2020</v>
      </c>
      <c r="C66" t="s">
        <v>17</v>
      </c>
      <c r="D66" t="s">
        <v>18</v>
      </c>
      <c r="E66" t="s">
        <v>56</v>
      </c>
      <c r="F66" s="3" t="s">
        <v>57</v>
      </c>
      <c r="G66" t="s">
        <v>21</v>
      </c>
      <c r="H66" t="s">
        <v>22</v>
      </c>
      <c r="I66" s="1">
        <v>1884699</v>
      </c>
      <c r="J66">
        <v>1884699</v>
      </c>
      <c r="K66" t="s">
        <v>23</v>
      </c>
      <c r="L66">
        <v>-68.385288709380305</v>
      </c>
      <c r="M66" t="b">
        <v>1</v>
      </c>
      <c r="N66">
        <v>4</v>
      </c>
      <c r="O66">
        <v>190634414.125</v>
      </c>
      <c r="P66" t="s">
        <v>24</v>
      </c>
      <c r="Q66" t="s">
        <v>25</v>
      </c>
    </row>
    <row r="67" spans="1:17">
      <c r="A67">
        <v>2022</v>
      </c>
      <c r="B67">
        <v>2020</v>
      </c>
      <c r="C67" t="s">
        <v>17</v>
      </c>
      <c r="D67" t="s">
        <v>18</v>
      </c>
      <c r="E67" t="s">
        <v>56</v>
      </c>
      <c r="F67" s="3" t="s">
        <v>57</v>
      </c>
      <c r="G67" t="s">
        <v>21</v>
      </c>
      <c r="H67" t="s">
        <v>22</v>
      </c>
      <c r="I67" s="1">
        <v>1875645</v>
      </c>
      <c r="J67">
        <v>1875645</v>
      </c>
      <c r="K67" t="s">
        <v>23</v>
      </c>
      <c r="L67">
        <v>-0.480395012678414</v>
      </c>
      <c r="M67" t="b">
        <v>1</v>
      </c>
      <c r="N67">
        <v>4</v>
      </c>
      <c r="O67">
        <v>190634414.125</v>
      </c>
      <c r="P67" t="s">
        <v>24</v>
      </c>
      <c r="Q67" t="s">
        <v>25</v>
      </c>
    </row>
    <row r="68" spans="1:17">
      <c r="A68">
        <v>2023</v>
      </c>
      <c r="B68">
        <v>2020</v>
      </c>
      <c r="C68" t="s">
        <v>17</v>
      </c>
      <c r="D68" t="s">
        <v>18</v>
      </c>
      <c r="E68" t="s">
        <v>56</v>
      </c>
      <c r="F68" s="3" t="s">
        <v>57</v>
      </c>
      <c r="G68" t="s">
        <v>21</v>
      </c>
      <c r="H68" t="s">
        <v>22</v>
      </c>
      <c r="I68" s="1">
        <v>703716490</v>
      </c>
      <c r="J68">
        <v>703716490</v>
      </c>
      <c r="K68" t="s">
        <v>26</v>
      </c>
      <c r="L68" s="2" t="s">
        <v>84</v>
      </c>
      <c r="M68" t="b">
        <v>1</v>
      </c>
      <c r="N68">
        <v>4</v>
      </c>
      <c r="O68">
        <v>190634414.125</v>
      </c>
      <c r="P68" t="s">
        <v>24</v>
      </c>
      <c r="Q68" t="s">
        <v>25</v>
      </c>
    </row>
    <row r="69" spans="1:17">
      <c r="A69">
        <v>2022</v>
      </c>
      <c r="B69">
        <v>2020</v>
      </c>
      <c r="C69" t="s">
        <v>17</v>
      </c>
      <c r="D69" t="s">
        <v>18</v>
      </c>
      <c r="E69" t="s">
        <v>85</v>
      </c>
      <c r="F69" s="3" t="s">
        <v>86</v>
      </c>
      <c r="G69" t="s">
        <v>40</v>
      </c>
      <c r="H69" t="s">
        <v>22</v>
      </c>
      <c r="I69" s="1">
        <v>703716490</v>
      </c>
      <c r="J69">
        <v>703716490</v>
      </c>
      <c r="K69" t="s">
        <v>26</v>
      </c>
      <c r="M69" t="b">
        <v>1</v>
      </c>
      <c r="N69">
        <v>4</v>
      </c>
      <c r="O69">
        <v>703716490</v>
      </c>
      <c r="P69" t="s">
        <v>41</v>
      </c>
      <c r="Q69" t="s">
        <v>25</v>
      </c>
    </row>
    <row r="70" spans="1:17">
      <c r="A70">
        <v>2023</v>
      </c>
      <c r="B70">
        <v>2020</v>
      </c>
      <c r="C70" t="s">
        <v>17</v>
      </c>
      <c r="D70" t="s">
        <v>18</v>
      </c>
      <c r="E70" t="s">
        <v>85</v>
      </c>
      <c r="F70" s="3" t="s">
        <v>86</v>
      </c>
      <c r="G70" t="s">
        <v>40</v>
      </c>
      <c r="H70" t="s">
        <v>22</v>
      </c>
      <c r="I70" s="1">
        <v>703716490</v>
      </c>
      <c r="J70">
        <v>703716490</v>
      </c>
      <c r="K70" t="s">
        <v>26</v>
      </c>
      <c r="L70">
        <v>0</v>
      </c>
      <c r="M70" t="b">
        <v>1</v>
      </c>
      <c r="N70">
        <v>4</v>
      </c>
      <c r="O70">
        <v>703716490</v>
      </c>
      <c r="P70" t="s">
        <v>41</v>
      </c>
      <c r="Q70" t="s">
        <v>25</v>
      </c>
    </row>
    <row r="71" spans="1:17">
      <c r="A71">
        <v>2020</v>
      </c>
      <c r="B71">
        <v>2020</v>
      </c>
      <c r="C71" t="s">
        <v>17</v>
      </c>
      <c r="D71" t="s">
        <v>18</v>
      </c>
      <c r="E71" t="s">
        <v>85</v>
      </c>
      <c r="F71" s="3" t="s">
        <v>86</v>
      </c>
      <c r="G71" t="s">
        <v>40</v>
      </c>
      <c r="H71" t="s">
        <v>22</v>
      </c>
      <c r="I71" s="1">
        <v>703716490</v>
      </c>
      <c r="J71">
        <v>703716490</v>
      </c>
      <c r="K71" t="s">
        <v>26</v>
      </c>
      <c r="L71">
        <v>0</v>
      </c>
      <c r="M71" t="b">
        <v>1</v>
      </c>
      <c r="N71">
        <v>4</v>
      </c>
      <c r="O71">
        <v>703716490</v>
      </c>
      <c r="P71" t="s">
        <v>41</v>
      </c>
      <c r="Q71" t="s">
        <v>25</v>
      </c>
    </row>
    <row r="72" spans="1:17" ht="29">
      <c r="A72">
        <v>2021</v>
      </c>
      <c r="B72">
        <v>2020</v>
      </c>
      <c r="C72" t="s">
        <v>17</v>
      </c>
      <c r="D72" t="s">
        <v>18</v>
      </c>
      <c r="E72" t="s">
        <v>87</v>
      </c>
      <c r="F72" s="3" t="s">
        <v>88</v>
      </c>
      <c r="G72" t="s">
        <v>21</v>
      </c>
      <c r="H72" t="s">
        <v>31</v>
      </c>
      <c r="I72" s="1">
        <v>577147</v>
      </c>
      <c r="J72">
        <v>577147</v>
      </c>
      <c r="K72" t="s">
        <v>32</v>
      </c>
      <c r="M72" t="b">
        <v>1</v>
      </c>
      <c r="N72">
        <v>4</v>
      </c>
      <c r="O72">
        <v>588445.5</v>
      </c>
      <c r="P72" t="s">
        <v>36</v>
      </c>
      <c r="Q72" t="s">
        <v>25</v>
      </c>
    </row>
    <row r="73" spans="1:17" ht="29">
      <c r="A73">
        <v>2022</v>
      </c>
      <c r="B73">
        <v>2020</v>
      </c>
      <c r="C73" t="s">
        <v>17</v>
      </c>
      <c r="D73" t="s">
        <v>18</v>
      </c>
      <c r="E73" t="s">
        <v>87</v>
      </c>
      <c r="F73" s="3" t="s">
        <v>88</v>
      </c>
      <c r="G73" t="s">
        <v>21</v>
      </c>
      <c r="H73" t="s">
        <v>31</v>
      </c>
      <c r="I73" s="1">
        <v>605000</v>
      </c>
      <c r="J73">
        <v>605000</v>
      </c>
      <c r="K73" t="s">
        <v>32</v>
      </c>
      <c r="L73" s="2" t="s">
        <v>89</v>
      </c>
      <c r="M73" t="b">
        <v>1</v>
      </c>
      <c r="N73">
        <v>4</v>
      </c>
      <c r="O73">
        <v>588445.5</v>
      </c>
      <c r="P73" t="s">
        <v>36</v>
      </c>
      <c r="Q73" t="s">
        <v>25</v>
      </c>
    </row>
    <row r="74" spans="1:17" ht="29">
      <c r="A74">
        <v>2023</v>
      </c>
      <c r="B74">
        <v>2020</v>
      </c>
      <c r="C74" t="s">
        <v>17</v>
      </c>
      <c r="D74" t="s">
        <v>18</v>
      </c>
      <c r="E74" t="s">
        <v>87</v>
      </c>
      <c r="F74" s="3" t="s">
        <v>88</v>
      </c>
      <c r="G74" t="s">
        <v>21</v>
      </c>
      <c r="H74" t="s">
        <v>31</v>
      </c>
      <c r="I74" s="1">
        <v>634600</v>
      </c>
      <c r="J74">
        <v>634600</v>
      </c>
      <c r="K74" t="s">
        <v>32</v>
      </c>
      <c r="L74" s="2" t="s">
        <v>90</v>
      </c>
      <c r="M74" t="b">
        <v>1</v>
      </c>
      <c r="N74">
        <v>4</v>
      </c>
      <c r="O74">
        <v>588445.5</v>
      </c>
      <c r="P74" t="s">
        <v>36</v>
      </c>
      <c r="Q74" t="s">
        <v>25</v>
      </c>
    </row>
    <row r="75" spans="1:17">
      <c r="A75">
        <v>2022</v>
      </c>
      <c r="B75">
        <v>2020</v>
      </c>
      <c r="C75" t="s">
        <v>17</v>
      </c>
      <c r="D75" t="s">
        <v>18</v>
      </c>
      <c r="E75" t="s">
        <v>91</v>
      </c>
      <c r="F75" s="3" t="s">
        <v>92</v>
      </c>
      <c r="G75" t="s">
        <v>40</v>
      </c>
      <c r="H75" t="s">
        <v>22</v>
      </c>
      <c r="I75" s="1">
        <v>84882000</v>
      </c>
      <c r="J75">
        <v>84882000</v>
      </c>
      <c r="K75" t="s">
        <v>23</v>
      </c>
      <c r="M75" t="b">
        <v>1</v>
      </c>
      <c r="N75">
        <v>4</v>
      </c>
      <c r="O75">
        <v>74889250</v>
      </c>
      <c r="P75" t="s">
        <v>36</v>
      </c>
      <c r="Q75" t="s">
        <v>25</v>
      </c>
    </row>
    <row r="76" spans="1:17">
      <c r="A76">
        <v>2023</v>
      </c>
      <c r="B76">
        <v>2020</v>
      </c>
      <c r="C76" t="s">
        <v>17</v>
      </c>
      <c r="D76" t="s">
        <v>18</v>
      </c>
      <c r="E76" t="s">
        <v>91</v>
      </c>
      <c r="F76" s="3" t="s">
        <v>92</v>
      </c>
      <c r="G76" t="s">
        <v>40</v>
      </c>
      <c r="H76" t="s">
        <v>22</v>
      </c>
      <c r="I76" s="1">
        <v>144087000</v>
      </c>
      <c r="J76">
        <v>144087000</v>
      </c>
      <c r="K76" t="s">
        <v>26</v>
      </c>
      <c r="L76" s="2" t="s">
        <v>93</v>
      </c>
      <c r="M76" t="b">
        <v>1</v>
      </c>
      <c r="N76">
        <v>4</v>
      </c>
      <c r="O76">
        <v>74889250</v>
      </c>
      <c r="P76" t="s">
        <v>36</v>
      </c>
      <c r="Q76" t="s">
        <v>25</v>
      </c>
    </row>
    <row r="77" spans="1:17">
      <c r="A77">
        <v>2020</v>
      </c>
      <c r="B77">
        <v>2020</v>
      </c>
      <c r="C77" t="s">
        <v>17</v>
      </c>
      <c r="D77" t="s">
        <v>18</v>
      </c>
      <c r="E77" t="s">
        <v>91</v>
      </c>
      <c r="F77" s="3" t="s">
        <v>92</v>
      </c>
      <c r="G77" t="s">
        <v>40</v>
      </c>
      <c r="H77" t="s">
        <v>22</v>
      </c>
      <c r="I77" s="1">
        <v>64138000</v>
      </c>
      <c r="J77">
        <v>64138000</v>
      </c>
      <c r="K77" t="s">
        <v>23</v>
      </c>
      <c r="L77">
        <v>-55.486615725221498</v>
      </c>
      <c r="M77" t="b">
        <v>1</v>
      </c>
      <c r="N77">
        <v>4</v>
      </c>
      <c r="O77">
        <v>74889250</v>
      </c>
      <c r="P77" t="s">
        <v>36</v>
      </c>
      <c r="Q77" t="s">
        <v>25</v>
      </c>
    </row>
    <row r="78" spans="1:17">
      <c r="A78">
        <v>2021</v>
      </c>
      <c r="B78">
        <v>2020</v>
      </c>
      <c r="C78" t="s">
        <v>17</v>
      </c>
      <c r="D78" t="s">
        <v>18</v>
      </c>
      <c r="E78" t="s">
        <v>71</v>
      </c>
      <c r="F78" s="3" t="s">
        <v>72</v>
      </c>
      <c r="G78" t="s">
        <v>21</v>
      </c>
      <c r="H78" t="s">
        <v>22</v>
      </c>
      <c r="I78" s="1">
        <v>57876795</v>
      </c>
      <c r="J78">
        <v>57876795</v>
      </c>
      <c r="K78" t="s">
        <v>23</v>
      </c>
      <c r="L78" s="2" t="s">
        <v>94</v>
      </c>
      <c r="M78" t="b">
        <v>1</v>
      </c>
      <c r="N78">
        <v>4</v>
      </c>
      <c r="O78">
        <v>140908336.375</v>
      </c>
      <c r="P78" t="s">
        <v>24</v>
      </c>
      <c r="Q78" t="s">
        <v>25</v>
      </c>
    </row>
    <row r="79" spans="1:17">
      <c r="A79">
        <v>2022</v>
      </c>
      <c r="B79">
        <v>2020</v>
      </c>
      <c r="C79" t="s">
        <v>17</v>
      </c>
      <c r="D79" t="s">
        <v>18</v>
      </c>
      <c r="E79" t="s">
        <v>71</v>
      </c>
      <c r="F79" s="3" t="s">
        <v>72</v>
      </c>
      <c r="G79" t="s">
        <v>21</v>
      </c>
      <c r="H79" t="s">
        <v>22</v>
      </c>
      <c r="I79" s="1">
        <v>28177160</v>
      </c>
      <c r="J79">
        <v>28177160</v>
      </c>
      <c r="K79" t="s">
        <v>23</v>
      </c>
      <c r="L79">
        <v>-51.315272381616801</v>
      </c>
      <c r="M79" t="b">
        <v>1</v>
      </c>
      <c r="N79">
        <v>4</v>
      </c>
      <c r="O79">
        <v>140908336.375</v>
      </c>
      <c r="P79" t="s">
        <v>24</v>
      </c>
      <c r="Q79" t="s">
        <v>25</v>
      </c>
    </row>
    <row r="80" spans="1:17">
      <c r="A80">
        <v>2023</v>
      </c>
      <c r="B80">
        <v>2020</v>
      </c>
      <c r="C80" t="s">
        <v>17</v>
      </c>
      <c r="D80" t="s">
        <v>18</v>
      </c>
      <c r="E80" t="s">
        <v>71</v>
      </c>
      <c r="F80" s="3" t="s">
        <v>72</v>
      </c>
      <c r="G80" t="s">
        <v>21</v>
      </c>
      <c r="H80" t="s">
        <v>22</v>
      </c>
      <c r="I80" s="1">
        <v>29326405</v>
      </c>
      <c r="J80">
        <v>29326405</v>
      </c>
      <c r="K80" t="s">
        <v>23</v>
      </c>
      <c r="L80" s="2" t="s">
        <v>95</v>
      </c>
      <c r="M80" t="b">
        <v>1</v>
      </c>
      <c r="N80">
        <v>4</v>
      </c>
      <c r="O80">
        <v>140908336.375</v>
      </c>
      <c r="P80" t="s">
        <v>24</v>
      </c>
      <c r="Q80" t="s">
        <v>25</v>
      </c>
    </row>
    <row r="81" spans="1:17" ht="29">
      <c r="A81">
        <v>2022</v>
      </c>
      <c r="B81">
        <v>2020</v>
      </c>
      <c r="C81" t="s">
        <v>17</v>
      </c>
      <c r="D81" t="s">
        <v>18</v>
      </c>
      <c r="E81" t="s">
        <v>96</v>
      </c>
      <c r="F81" s="3" t="s">
        <v>97</v>
      </c>
      <c r="G81" t="s">
        <v>30</v>
      </c>
      <c r="H81" t="s">
        <v>22</v>
      </c>
      <c r="I81" s="1">
        <v>703716490</v>
      </c>
      <c r="J81">
        <v>703716490</v>
      </c>
      <c r="K81" t="s">
        <v>26</v>
      </c>
      <c r="M81" t="b">
        <v>1</v>
      </c>
      <c r="N81">
        <v>4</v>
      </c>
      <c r="O81">
        <v>703716490</v>
      </c>
      <c r="P81" t="s">
        <v>41</v>
      </c>
      <c r="Q81" t="s">
        <v>25</v>
      </c>
    </row>
    <row r="82" spans="1:17" ht="29">
      <c r="A82">
        <v>2023</v>
      </c>
      <c r="B82">
        <v>2020</v>
      </c>
      <c r="C82" t="s">
        <v>17</v>
      </c>
      <c r="D82" t="s">
        <v>18</v>
      </c>
      <c r="E82" t="s">
        <v>96</v>
      </c>
      <c r="F82" s="3" t="s">
        <v>97</v>
      </c>
      <c r="G82" t="s">
        <v>30</v>
      </c>
      <c r="H82" t="s">
        <v>22</v>
      </c>
      <c r="I82" s="1">
        <v>703716490</v>
      </c>
      <c r="J82">
        <v>703716490</v>
      </c>
      <c r="K82" t="s">
        <v>26</v>
      </c>
      <c r="L82">
        <v>0</v>
      </c>
      <c r="M82" t="b">
        <v>1</v>
      </c>
      <c r="N82">
        <v>4</v>
      </c>
      <c r="O82">
        <v>703716490</v>
      </c>
      <c r="P82" t="s">
        <v>41</v>
      </c>
      <c r="Q82" t="s">
        <v>25</v>
      </c>
    </row>
    <row r="83" spans="1:17" ht="29">
      <c r="A83">
        <v>2020</v>
      </c>
      <c r="B83">
        <v>2020</v>
      </c>
      <c r="C83" t="s">
        <v>17</v>
      </c>
      <c r="D83" t="s">
        <v>18</v>
      </c>
      <c r="E83" t="s">
        <v>96</v>
      </c>
      <c r="F83" s="3" t="s">
        <v>97</v>
      </c>
      <c r="G83" t="s">
        <v>30</v>
      </c>
      <c r="H83" t="s">
        <v>22</v>
      </c>
      <c r="I83" s="1">
        <v>703716490</v>
      </c>
      <c r="J83">
        <v>703716490</v>
      </c>
      <c r="K83" t="s">
        <v>26</v>
      </c>
      <c r="L83">
        <v>0</v>
      </c>
      <c r="M83" t="b">
        <v>1</v>
      </c>
      <c r="N83">
        <v>4</v>
      </c>
      <c r="O83">
        <v>703716490</v>
      </c>
      <c r="P83" t="s">
        <v>41</v>
      </c>
      <c r="Q83" t="s">
        <v>25</v>
      </c>
    </row>
    <row r="84" spans="1:17" ht="29">
      <c r="A84">
        <v>2020</v>
      </c>
      <c r="B84">
        <v>2020</v>
      </c>
      <c r="C84" t="s">
        <v>17</v>
      </c>
      <c r="D84" t="s">
        <v>18</v>
      </c>
      <c r="E84" t="s">
        <v>51</v>
      </c>
      <c r="F84" s="3" t="s">
        <v>52</v>
      </c>
      <c r="G84" t="s">
        <v>30</v>
      </c>
      <c r="H84" t="s">
        <v>22</v>
      </c>
      <c r="I84" s="1">
        <v>703716490</v>
      </c>
      <c r="J84">
        <v>703716490</v>
      </c>
      <c r="K84" t="s">
        <v>26</v>
      </c>
      <c r="L84">
        <v>0</v>
      </c>
      <c r="M84" t="b">
        <v>1</v>
      </c>
      <c r="N84">
        <v>4</v>
      </c>
      <c r="O84">
        <v>703716490</v>
      </c>
      <c r="P84" t="s">
        <v>41</v>
      </c>
      <c r="Q84" t="s">
        <v>25</v>
      </c>
    </row>
    <row r="85" spans="1:17">
      <c r="A85">
        <v>2022</v>
      </c>
      <c r="B85">
        <v>2020</v>
      </c>
      <c r="C85" t="s">
        <v>17</v>
      </c>
      <c r="D85" t="s">
        <v>18</v>
      </c>
      <c r="E85" t="s">
        <v>38</v>
      </c>
      <c r="F85" s="3" t="s">
        <v>39</v>
      </c>
      <c r="G85" t="s">
        <v>40</v>
      </c>
      <c r="H85" t="s">
        <v>22</v>
      </c>
      <c r="I85" s="1">
        <v>703716490</v>
      </c>
      <c r="J85">
        <v>703716490</v>
      </c>
      <c r="K85" t="s">
        <v>26</v>
      </c>
      <c r="L85">
        <v>0</v>
      </c>
      <c r="M85" t="b">
        <v>1</v>
      </c>
      <c r="N85">
        <v>4</v>
      </c>
      <c r="O85">
        <v>703716490</v>
      </c>
      <c r="P85" t="s">
        <v>41</v>
      </c>
      <c r="Q85" t="s">
        <v>25</v>
      </c>
    </row>
    <row r="86" spans="1:17">
      <c r="A86">
        <v>2023</v>
      </c>
      <c r="B86">
        <v>2020</v>
      </c>
      <c r="C86" t="s">
        <v>17</v>
      </c>
      <c r="D86" t="s">
        <v>18</v>
      </c>
      <c r="E86" t="s">
        <v>38</v>
      </c>
      <c r="F86" s="3" t="s">
        <v>39</v>
      </c>
      <c r="G86" t="s">
        <v>40</v>
      </c>
      <c r="H86" t="s">
        <v>22</v>
      </c>
      <c r="I86" s="1">
        <v>703716490</v>
      </c>
      <c r="J86">
        <v>703716490</v>
      </c>
      <c r="K86" t="s">
        <v>26</v>
      </c>
      <c r="L86">
        <v>0</v>
      </c>
      <c r="M86" t="b">
        <v>1</v>
      </c>
      <c r="N86">
        <v>4</v>
      </c>
      <c r="O86">
        <v>703716490</v>
      </c>
      <c r="P86" t="s">
        <v>41</v>
      </c>
      <c r="Q86" t="s">
        <v>25</v>
      </c>
    </row>
    <row r="87" spans="1:17" ht="29">
      <c r="A87">
        <v>2020</v>
      </c>
      <c r="B87">
        <v>2020</v>
      </c>
      <c r="C87" t="s">
        <v>17</v>
      </c>
      <c r="D87" t="s">
        <v>18</v>
      </c>
      <c r="E87" t="s">
        <v>19</v>
      </c>
      <c r="F87" s="3" t="s">
        <v>20</v>
      </c>
      <c r="G87" t="s">
        <v>21</v>
      </c>
      <c r="H87" t="s">
        <v>22</v>
      </c>
      <c r="I87" s="1">
        <v>13996378</v>
      </c>
      <c r="J87">
        <v>13996378</v>
      </c>
      <c r="K87" t="s">
        <v>23</v>
      </c>
      <c r="L87">
        <v>-98.011077159780598</v>
      </c>
      <c r="M87" t="b">
        <v>1</v>
      </c>
      <c r="N87">
        <v>4</v>
      </c>
      <c r="O87">
        <v>99912404.875</v>
      </c>
      <c r="P87" t="s">
        <v>24</v>
      </c>
      <c r="Q87" t="s">
        <v>25</v>
      </c>
    </row>
    <row r="88" spans="1:17" ht="29">
      <c r="A88">
        <v>2022</v>
      </c>
      <c r="B88">
        <v>2020</v>
      </c>
      <c r="C88" t="s">
        <v>17</v>
      </c>
      <c r="D88" t="s">
        <v>18</v>
      </c>
      <c r="E88" t="s">
        <v>96</v>
      </c>
      <c r="F88" s="3" t="s">
        <v>97</v>
      </c>
      <c r="G88" t="s">
        <v>30</v>
      </c>
      <c r="H88" t="s">
        <v>22</v>
      </c>
      <c r="I88" s="1">
        <v>703716490</v>
      </c>
      <c r="J88">
        <v>703716490</v>
      </c>
      <c r="K88" t="s">
        <v>26</v>
      </c>
      <c r="L88">
        <v>0</v>
      </c>
      <c r="M88" t="b">
        <v>1</v>
      </c>
      <c r="N88">
        <v>4</v>
      </c>
      <c r="O88">
        <v>703716490</v>
      </c>
      <c r="P88" t="s">
        <v>41</v>
      </c>
      <c r="Q88" t="s">
        <v>25</v>
      </c>
    </row>
    <row r="89" spans="1:17" ht="29">
      <c r="A89">
        <v>2023</v>
      </c>
      <c r="B89">
        <v>2020</v>
      </c>
      <c r="C89" t="s">
        <v>17</v>
      </c>
      <c r="D89" t="s">
        <v>18</v>
      </c>
      <c r="E89" t="s">
        <v>96</v>
      </c>
      <c r="F89" s="3" t="s">
        <v>97</v>
      </c>
      <c r="G89" t="s">
        <v>30</v>
      </c>
      <c r="H89" t="s">
        <v>22</v>
      </c>
      <c r="I89" s="1">
        <v>703716490</v>
      </c>
      <c r="J89">
        <v>703716490</v>
      </c>
      <c r="K89" t="s">
        <v>26</v>
      </c>
      <c r="L89">
        <v>0</v>
      </c>
      <c r="M89" t="b">
        <v>1</v>
      </c>
      <c r="N89">
        <v>4</v>
      </c>
      <c r="O89">
        <v>703716490</v>
      </c>
      <c r="P89" t="s">
        <v>41</v>
      </c>
      <c r="Q89" t="s">
        <v>25</v>
      </c>
    </row>
    <row r="90" spans="1:17" ht="29">
      <c r="A90">
        <v>2020</v>
      </c>
      <c r="B90">
        <v>2020</v>
      </c>
      <c r="C90" t="s">
        <v>17</v>
      </c>
      <c r="D90" t="s">
        <v>18</v>
      </c>
      <c r="E90" t="s">
        <v>96</v>
      </c>
      <c r="F90" s="3" t="s">
        <v>97</v>
      </c>
      <c r="G90" t="s">
        <v>30</v>
      </c>
      <c r="H90" t="s">
        <v>22</v>
      </c>
      <c r="I90" s="1">
        <v>703716490</v>
      </c>
      <c r="J90">
        <v>703716490</v>
      </c>
      <c r="K90" t="s">
        <v>26</v>
      </c>
      <c r="L90">
        <v>0</v>
      </c>
      <c r="M90" t="b">
        <v>1</v>
      </c>
      <c r="N90">
        <v>4</v>
      </c>
      <c r="O90">
        <v>703716490</v>
      </c>
      <c r="P90" t="s">
        <v>41</v>
      </c>
      <c r="Q90" t="s">
        <v>25</v>
      </c>
    </row>
    <row r="91" spans="1:17">
      <c r="A91">
        <v>2022</v>
      </c>
      <c r="B91">
        <v>2020</v>
      </c>
      <c r="C91" t="s">
        <v>17</v>
      </c>
      <c r="D91" t="s">
        <v>18</v>
      </c>
      <c r="E91" t="s">
        <v>98</v>
      </c>
      <c r="F91" s="3" t="s">
        <v>99</v>
      </c>
      <c r="G91" t="s">
        <v>21</v>
      </c>
      <c r="H91" t="s">
        <v>22</v>
      </c>
      <c r="I91" s="1">
        <v>728210</v>
      </c>
      <c r="J91">
        <v>728210</v>
      </c>
      <c r="K91" t="s">
        <v>32</v>
      </c>
      <c r="M91" t="b">
        <v>1</v>
      </c>
      <c r="N91">
        <v>4</v>
      </c>
      <c r="O91">
        <v>16440389.375</v>
      </c>
      <c r="P91" t="s">
        <v>24</v>
      </c>
      <c r="Q91" t="s">
        <v>25</v>
      </c>
    </row>
    <row r="92" spans="1:17">
      <c r="A92">
        <v>2023</v>
      </c>
      <c r="B92">
        <v>2020</v>
      </c>
      <c r="C92" t="s">
        <v>17</v>
      </c>
      <c r="D92" t="s">
        <v>18</v>
      </c>
      <c r="E92" t="s">
        <v>98</v>
      </c>
      <c r="F92" s="3" t="s">
        <v>99</v>
      </c>
      <c r="G92" t="s">
        <v>21</v>
      </c>
      <c r="H92" t="s">
        <v>22</v>
      </c>
      <c r="I92" s="1">
        <v>1357852</v>
      </c>
      <c r="J92">
        <v>1357852</v>
      </c>
      <c r="K92" t="s">
        <v>23</v>
      </c>
      <c r="L92" s="2" t="s">
        <v>100</v>
      </c>
      <c r="M92" t="b">
        <v>1</v>
      </c>
      <c r="N92">
        <v>4</v>
      </c>
      <c r="O92">
        <v>16440389.375</v>
      </c>
      <c r="P92" t="s">
        <v>24</v>
      </c>
      <c r="Q92" t="s">
        <v>25</v>
      </c>
    </row>
    <row r="93" spans="1:17">
      <c r="A93">
        <v>2020</v>
      </c>
      <c r="B93">
        <v>2020</v>
      </c>
      <c r="C93" t="s">
        <v>17</v>
      </c>
      <c r="D93" t="s">
        <v>18</v>
      </c>
      <c r="E93" t="s">
        <v>98</v>
      </c>
      <c r="F93" s="3" t="s">
        <v>99</v>
      </c>
      <c r="G93" t="s">
        <v>21</v>
      </c>
      <c r="H93" t="s">
        <v>22</v>
      </c>
      <c r="I93" s="1">
        <v>298702</v>
      </c>
      <c r="J93">
        <v>298702</v>
      </c>
      <c r="K93" t="s">
        <v>32</v>
      </c>
      <c r="L93">
        <v>-78.001873547337993</v>
      </c>
      <c r="M93" t="b">
        <v>1</v>
      </c>
      <c r="N93">
        <v>4</v>
      </c>
      <c r="O93">
        <v>16440389.375</v>
      </c>
      <c r="P93" t="s">
        <v>24</v>
      </c>
      <c r="Q93" t="s">
        <v>25</v>
      </c>
    </row>
    <row r="94" spans="1:17">
      <c r="A94">
        <v>2022</v>
      </c>
      <c r="B94">
        <v>2020</v>
      </c>
      <c r="C94" t="s">
        <v>17</v>
      </c>
      <c r="D94" t="s">
        <v>18</v>
      </c>
      <c r="E94" t="s">
        <v>101</v>
      </c>
      <c r="F94" s="3" t="s">
        <v>102</v>
      </c>
      <c r="G94" t="s">
        <v>40</v>
      </c>
      <c r="H94" t="s">
        <v>22</v>
      </c>
      <c r="I94" s="1">
        <v>4736847000</v>
      </c>
      <c r="J94">
        <v>4736847000</v>
      </c>
      <c r="K94" t="s">
        <v>26</v>
      </c>
      <c r="M94" t="b">
        <v>1</v>
      </c>
      <c r="N94">
        <v>4</v>
      </c>
      <c r="O94">
        <v>4078783500</v>
      </c>
      <c r="P94" t="s">
        <v>24</v>
      </c>
      <c r="Q94" t="s">
        <v>25</v>
      </c>
    </row>
    <row r="95" spans="1:17">
      <c r="A95">
        <v>2023</v>
      </c>
      <c r="B95">
        <v>2020</v>
      </c>
      <c r="C95" t="s">
        <v>17</v>
      </c>
      <c r="D95" t="s">
        <v>18</v>
      </c>
      <c r="E95" t="s">
        <v>101</v>
      </c>
      <c r="F95" s="3" t="s">
        <v>102</v>
      </c>
      <c r="G95" t="s">
        <v>40</v>
      </c>
      <c r="H95" t="s">
        <v>22</v>
      </c>
      <c r="I95" s="1">
        <v>5550230000</v>
      </c>
      <c r="J95">
        <v>5550230000</v>
      </c>
      <c r="K95" t="s">
        <v>26</v>
      </c>
      <c r="L95" s="2" t="s">
        <v>103</v>
      </c>
      <c r="M95" t="b">
        <v>1</v>
      </c>
      <c r="N95">
        <v>4</v>
      </c>
      <c r="O95">
        <v>4078783500</v>
      </c>
      <c r="P95" t="s">
        <v>24</v>
      </c>
      <c r="Q95" t="s">
        <v>25</v>
      </c>
    </row>
    <row r="96" spans="1:17">
      <c r="A96">
        <v>2020</v>
      </c>
      <c r="B96">
        <v>2020</v>
      </c>
      <c r="C96" t="s">
        <v>17</v>
      </c>
      <c r="D96" t="s">
        <v>18</v>
      </c>
      <c r="E96" t="s">
        <v>101</v>
      </c>
      <c r="F96" s="3" t="s">
        <v>102</v>
      </c>
      <c r="G96" t="s">
        <v>40</v>
      </c>
      <c r="H96" t="s">
        <v>22</v>
      </c>
      <c r="I96" s="1">
        <v>2242754000</v>
      </c>
      <c r="J96">
        <v>2242754000</v>
      </c>
      <c r="K96" t="s">
        <v>26</v>
      </c>
      <c r="L96">
        <v>-59.591692596523004</v>
      </c>
      <c r="M96" t="b">
        <v>1</v>
      </c>
      <c r="N96">
        <v>4</v>
      </c>
      <c r="O96">
        <v>4078783500</v>
      </c>
      <c r="P96" t="s">
        <v>24</v>
      </c>
      <c r="Q96" t="s">
        <v>25</v>
      </c>
    </row>
    <row r="97" spans="1:17" ht="29">
      <c r="A97">
        <v>2022</v>
      </c>
      <c r="B97">
        <v>2020</v>
      </c>
      <c r="C97" t="s">
        <v>17</v>
      </c>
      <c r="D97" t="s">
        <v>18</v>
      </c>
      <c r="E97" t="s">
        <v>96</v>
      </c>
      <c r="F97" s="3" t="s">
        <v>97</v>
      </c>
      <c r="G97" t="s">
        <v>30</v>
      </c>
      <c r="H97" t="s">
        <v>22</v>
      </c>
      <c r="I97" s="1">
        <v>703716490</v>
      </c>
      <c r="J97">
        <v>703716490</v>
      </c>
      <c r="K97" t="s">
        <v>26</v>
      </c>
      <c r="L97">
        <v>0</v>
      </c>
      <c r="M97" t="b">
        <v>1</v>
      </c>
      <c r="N97">
        <v>4</v>
      </c>
      <c r="O97">
        <v>703716490</v>
      </c>
      <c r="P97" t="s">
        <v>41</v>
      </c>
      <c r="Q97" t="s">
        <v>25</v>
      </c>
    </row>
    <row r="98" spans="1:17" ht="29">
      <c r="A98">
        <v>2023</v>
      </c>
      <c r="B98">
        <v>2020</v>
      </c>
      <c r="C98" t="s">
        <v>17</v>
      </c>
      <c r="D98" t="s">
        <v>18</v>
      </c>
      <c r="E98" t="s">
        <v>96</v>
      </c>
      <c r="F98" s="3" t="s">
        <v>97</v>
      </c>
      <c r="G98" t="s">
        <v>30</v>
      </c>
      <c r="H98" t="s">
        <v>22</v>
      </c>
      <c r="I98" s="1">
        <v>703716490</v>
      </c>
      <c r="J98">
        <v>703716490</v>
      </c>
      <c r="K98" t="s">
        <v>26</v>
      </c>
      <c r="L98">
        <v>0</v>
      </c>
      <c r="M98" t="b">
        <v>1</v>
      </c>
      <c r="N98">
        <v>4</v>
      </c>
      <c r="O98">
        <v>703716490</v>
      </c>
      <c r="P98" t="s">
        <v>41</v>
      </c>
      <c r="Q98" t="s">
        <v>25</v>
      </c>
    </row>
    <row r="99" spans="1:17" ht="29">
      <c r="A99">
        <v>2020</v>
      </c>
      <c r="B99">
        <v>2020</v>
      </c>
      <c r="C99" t="s">
        <v>17</v>
      </c>
      <c r="D99" t="s">
        <v>18</v>
      </c>
      <c r="E99" t="s">
        <v>96</v>
      </c>
      <c r="F99" s="3" t="s">
        <v>97</v>
      </c>
      <c r="G99" t="s">
        <v>30</v>
      </c>
      <c r="H99" t="s">
        <v>22</v>
      </c>
      <c r="I99" s="1">
        <v>703716490</v>
      </c>
      <c r="J99">
        <v>703716490</v>
      </c>
      <c r="K99" t="s">
        <v>26</v>
      </c>
      <c r="L99">
        <v>0</v>
      </c>
      <c r="M99" t="b">
        <v>1</v>
      </c>
      <c r="N99">
        <v>4</v>
      </c>
      <c r="O99">
        <v>703716490</v>
      </c>
      <c r="P99" t="s">
        <v>41</v>
      </c>
      <c r="Q99" t="s">
        <v>25</v>
      </c>
    </row>
    <row r="100" spans="1:17">
      <c r="A100">
        <v>2022</v>
      </c>
      <c r="B100">
        <v>2020</v>
      </c>
      <c r="C100" t="s">
        <v>17</v>
      </c>
      <c r="D100" t="s">
        <v>18</v>
      </c>
      <c r="E100" t="s">
        <v>56</v>
      </c>
      <c r="F100" s="3" t="s">
        <v>57</v>
      </c>
      <c r="G100" t="s">
        <v>21</v>
      </c>
      <c r="H100" t="s">
        <v>22</v>
      </c>
      <c r="I100" s="1">
        <v>21967616</v>
      </c>
      <c r="J100">
        <v>21967616</v>
      </c>
      <c r="K100" t="s">
        <v>23</v>
      </c>
      <c r="L100">
        <v>-96.878342867878501</v>
      </c>
      <c r="M100" t="b">
        <v>1</v>
      </c>
      <c r="N100">
        <v>4</v>
      </c>
      <c r="O100">
        <v>190634414.125</v>
      </c>
      <c r="P100" t="s">
        <v>24</v>
      </c>
      <c r="Q100" t="s">
        <v>25</v>
      </c>
    </row>
    <row r="101" spans="1:17">
      <c r="A101">
        <v>2023</v>
      </c>
      <c r="B101">
        <v>2020</v>
      </c>
      <c r="C101" t="s">
        <v>17</v>
      </c>
      <c r="D101" t="s">
        <v>18</v>
      </c>
      <c r="E101" t="s">
        <v>56</v>
      </c>
      <c r="F101" s="3" t="s">
        <v>57</v>
      </c>
      <c r="G101" t="s">
        <v>21</v>
      </c>
      <c r="H101" t="s">
        <v>22</v>
      </c>
      <c r="I101" s="1">
        <v>703716490</v>
      </c>
      <c r="J101">
        <v>703716490</v>
      </c>
      <c r="K101" t="s">
        <v>26</v>
      </c>
      <c r="L101" s="2" t="s">
        <v>104</v>
      </c>
      <c r="M101" t="b">
        <v>1</v>
      </c>
      <c r="N101">
        <v>4</v>
      </c>
      <c r="O101">
        <v>190634414.125</v>
      </c>
      <c r="P101" t="s">
        <v>24</v>
      </c>
      <c r="Q101" t="s">
        <v>25</v>
      </c>
    </row>
    <row r="102" spans="1:17">
      <c r="A102">
        <v>2020</v>
      </c>
      <c r="B102">
        <v>2020</v>
      </c>
      <c r="C102" t="s">
        <v>17</v>
      </c>
      <c r="D102" t="s">
        <v>18</v>
      </c>
      <c r="E102" t="s">
        <v>56</v>
      </c>
      <c r="F102" s="3" t="s">
        <v>57</v>
      </c>
      <c r="G102" t="s">
        <v>21</v>
      </c>
      <c r="H102" t="s">
        <v>22</v>
      </c>
      <c r="I102" s="1">
        <v>19187896</v>
      </c>
      <c r="J102">
        <v>19187896</v>
      </c>
      <c r="K102" t="s">
        <v>23</v>
      </c>
      <c r="L102">
        <v>-97.273348532730793</v>
      </c>
      <c r="M102" t="b">
        <v>1</v>
      </c>
      <c r="N102">
        <v>4</v>
      </c>
      <c r="O102">
        <v>190634414.125</v>
      </c>
      <c r="P102" t="s">
        <v>24</v>
      </c>
      <c r="Q102" t="s">
        <v>25</v>
      </c>
    </row>
    <row r="103" spans="1:17">
      <c r="A103">
        <v>2022</v>
      </c>
      <c r="B103">
        <v>2020</v>
      </c>
      <c r="C103" t="s">
        <v>17</v>
      </c>
      <c r="D103" t="s">
        <v>18</v>
      </c>
      <c r="E103" t="s">
        <v>105</v>
      </c>
      <c r="F103" s="3" t="s">
        <v>106</v>
      </c>
      <c r="G103" t="s">
        <v>107</v>
      </c>
      <c r="H103" t="s">
        <v>31</v>
      </c>
      <c r="I103" s="1">
        <v>2020583712</v>
      </c>
      <c r="J103">
        <v>2020583712</v>
      </c>
      <c r="K103" t="s">
        <v>26</v>
      </c>
      <c r="M103" t="b">
        <v>1</v>
      </c>
      <c r="N103">
        <v>4</v>
      </c>
      <c r="O103">
        <v>1391639889.75</v>
      </c>
      <c r="P103" t="s">
        <v>24</v>
      </c>
      <c r="Q103" t="s">
        <v>25</v>
      </c>
    </row>
    <row r="104" spans="1:17">
      <c r="A104">
        <v>2023</v>
      </c>
      <c r="B104">
        <v>2020</v>
      </c>
      <c r="C104" t="s">
        <v>17</v>
      </c>
      <c r="D104" t="s">
        <v>18</v>
      </c>
      <c r="E104" t="s">
        <v>105</v>
      </c>
      <c r="F104" s="3" t="s">
        <v>106</v>
      </c>
      <c r="G104" t="s">
        <v>107</v>
      </c>
      <c r="H104" t="s">
        <v>31</v>
      </c>
      <c r="I104" s="1">
        <v>2489700256</v>
      </c>
      <c r="J104">
        <v>2489700256</v>
      </c>
      <c r="K104" t="s">
        <v>26</v>
      </c>
      <c r="L104" s="2" t="s">
        <v>108</v>
      </c>
      <c r="M104" t="b">
        <v>1</v>
      </c>
      <c r="N104">
        <v>4</v>
      </c>
      <c r="O104">
        <v>1391639889.75</v>
      </c>
      <c r="P104" t="s">
        <v>24</v>
      </c>
      <c r="Q104" t="s">
        <v>25</v>
      </c>
    </row>
    <row r="105" spans="1:17">
      <c r="A105">
        <v>2020</v>
      </c>
      <c r="B105">
        <v>2020</v>
      </c>
      <c r="C105" t="s">
        <v>17</v>
      </c>
      <c r="D105" t="s">
        <v>18</v>
      </c>
      <c r="E105" t="s">
        <v>105</v>
      </c>
      <c r="F105" s="3" t="s">
        <v>106</v>
      </c>
      <c r="G105" t="s">
        <v>107</v>
      </c>
      <c r="H105" t="s">
        <v>31</v>
      </c>
      <c r="I105" s="1">
        <v>816577178</v>
      </c>
      <c r="J105">
        <v>816577178</v>
      </c>
      <c r="K105" t="s">
        <v>26</v>
      </c>
      <c r="L105">
        <v>-67.201787603463202</v>
      </c>
      <c r="M105" t="b">
        <v>1</v>
      </c>
      <c r="N105">
        <v>4</v>
      </c>
      <c r="O105">
        <v>1391639889.75</v>
      </c>
      <c r="P105" t="s">
        <v>24</v>
      </c>
      <c r="Q105" t="s">
        <v>25</v>
      </c>
    </row>
    <row r="106" spans="1:17">
      <c r="A106">
        <v>2022</v>
      </c>
      <c r="B106">
        <v>2020</v>
      </c>
      <c r="C106" t="s">
        <v>17</v>
      </c>
      <c r="D106" t="s">
        <v>18</v>
      </c>
      <c r="E106" t="s">
        <v>56</v>
      </c>
      <c r="F106" s="3" t="s">
        <v>57</v>
      </c>
      <c r="G106" t="s">
        <v>21</v>
      </c>
      <c r="H106" t="s">
        <v>22</v>
      </c>
      <c r="I106" s="1">
        <v>2854505</v>
      </c>
      <c r="J106">
        <v>2854505</v>
      </c>
      <c r="K106" t="s">
        <v>23</v>
      </c>
      <c r="L106">
        <v>-85.123408006797604</v>
      </c>
      <c r="M106" t="b">
        <v>1</v>
      </c>
      <c r="N106">
        <v>4</v>
      </c>
      <c r="O106">
        <v>190634414.125</v>
      </c>
      <c r="P106" t="s">
        <v>24</v>
      </c>
      <c r="Q106" t="s">
        <v>25</v>
      </c>
    </row>
    <row r="107" spans="1:17">
      <c r="A107">
        <v>2023</v>
      </c>
      <c r="B107">
        <v>2020</v>
      </c>
      <c r="C107" t="s">
        <v>17</v>
      </c>
      <c r="D107" t="s">
        <v>18</v>
      </c>
      <c r="E107" t="s">
        <v>56</v>
      </c>
      <c r="F107" s="3" t="s">
        <v>57</v>
      </c>
      <c r="G107" t="s">
        <v>21</v>
      </c>
      <c r="H107" t="s">
        <v>22</v>
      </c>
      <c r="I107" s="1">
        <v>703716490</v>
      </c>
      <c r="J107">
        <v>703716490</v>
      </c>
      <c r="K107" t="s">
        <v>26</v>
      </c>
      <c r="L107" s="2" t="s">
        <v>109</v>
      </c>
      <c r="M107" t="b">
        <v>1</v>
      </c>
      <c r="N107">
        <v>4</v>
      </c>
      <c r="O107">
        <v>190634414.125</v>
      </c>
      <c r="P107" t="s">
        <v>24</v>
      </c>
      <c r="Q107" t="s">
        <v>25</v>
      </c>
    </row>
    <row r="108" spans="1:17">
      <c r="A108">
        <v>2020</v>
      </c>
      <c r="B108">
        <v>2020</v>
      </c>
      <c r="C108" t="s">
        <v>17</v>
      </c>
      <c r="D108" t="s">
        <v>18</v>
      </c>
      <c r="E108" t="s">
        <v>56</v>
      </c>
      <c r="F108" s="3" t="s">
        <v>57</v>
      </c>
      <c r="G108" t="s">
        <v>21</v>
      </c>
      <c r="H108" t="s">
        <v>22</v>
      </c>
      <c r="I108" s="1">
        <v>2265444</v>
      </c>
      <c r="J108">
        <v>2265444</v>
      </c>
      <c r="K108" t="s">
        <v>23</v>
      </c>
      <c r="L108">
        <v>-99.678074333599795</v>
      </c>
      <c r="M108" t="b">
        <v>1</v>
      </c>
      <c r="N108">
        <v>4</v>
      </c>
      <c r="O108">
        <v>190634414.125</v>
      </c>
      <c r="P108" t="s">
        <v>24</v>
      </c>
      <c r="Q108" t="s">
        <v>25</v>
      </c>
    </row>
    <row r="109" spans="1:17" ht="29">
      <c r="A109">
        <v>2022</v>
      </c>
      <c r="B109">
        <v>2020</v>
      </c>
      <c r="C109" t="s">
        <v>17</v>
      </c>
      <c r="D109" t="s">
        <v>18</v>
      </c>
      <c r="E109" t="s">
        <v>51</v>
      </c>
      <c r="F109" s="3" t="s">
        <v>52</v>
      </c>
      <c r="G109" t="s">
        <v>30</v>
      </c>
      <c r="H109" t="s">
        <v>22</v>
      </c>
      <c r="I109" s="1">
        <v>703716490</v>
      </c>
      <c r="J109">
        <v>703716490</v>
      </c>
      <c r="K109" t="s">
        <v>26</v>
      </c>
      <c r="L109">
        <v>0</v>
      </c>
      <c r="M109" t="b">
        <v>1</v>
      </c>
      <c r="N109">
        <v>4</v>
      </c>
      <c r="O109">
        <v>703716490</v>
      </c>
      <c r="P109" t="s">
        <v>41</v>
      </c>
      <c r="Q109" t="s">
        <v>25</v>
      </c>
    </row>
    <row r="110" spans="1:17" ht="29">
      <c r="A110">
        <v>2023</v>
      </c>
      <c r="B110">
        <v>2020</v>
      </c>
      <c r="C110" t="s">
        <v>17</v>
      </c>
      <c r="D110" t="s">
        <v>18</v>
      </c>
      <c r="E110" t="s">
        <v>51</v>
      </c>
      <c r="F110" s="3" t="s">
        <v>52</v>
      </c>
      <c r="G110" t="s">
        <v>30</v>
      </c>
      <c r="H110" t="s">
        <v>22</v>
      </c>
      <c r="I110" s="1">
        <v>703716490</v>
      </c>
      <c r="J110">
        <v>703716490</v>
      </c>
      <c r="K110" t="s">
        <v>26</v>
      </c>
      <c r="L110">
        <v>0</v>
      </c>
      <c r="M110" t="b">
        <v>1</v>
      </c>
      <c r="N110">
        <v>4</v>
      </c>
      <c r="O110">
        <v>703716490</v>
      </c>
      <c r="P110" t="s">
        <v>41</v>
      </c>
      <c r="Q110" t="s">
        <v>25</v>
      </c>
    </row>
    <row r="111" spans="1:17" ht="29">
      <c r="A111">
        <v>2020</v>
      </c>
      <c r="B111">
        <v>2020</v>
      </c>
      <c r="C111" t="s">
        <v>17</v>
      </c>
      <c r="D111" t="s">
        <v>18</v>
      </c>
      <c r="E111" t="s">
        <v>51</v>
      </c>
      <c r="F111" s="3" t="s">
        <v>52</v>
      </c>
      <c r="G111" t="s">
        <v>30</v>
      </c>
      <c r="H111" t="s">
        <v>22</v>
      </c>
      <c r="I111" s="1">
        <v>703716490</v>
      </c>
      <c r="J111">
        <v>703716490</v>
      </c>
      <c r="K111" t="s">
        <v>26</v>
      </c>
      <c r="L111">
        <v>0</v>
      </c>
      <c r="M111" t="b">
        <v>1</v>
      </c>
      <c r="N111">
        <v>4</v>
      </c>
      <c r="O111">
        <v>703716490</v>
      </c>
      <c r="P111" t="s">
        <v>41</v>
      </c>
      <c r="Q111" t="s">
        <v>25</v>
      </c>
    </row>
    <row r="112" spans="1:17">
      <c r="A112">
        <v>2022</v>
      </c>
      <c r="B112">
        <v>2020</v>
      </c>
      <c r="C112" t="s">
        <v>17</v>
      </c>
      <c r="D112" t="s">
        <v>18</v>
      </c>
      <c r="E112" t="s">
        <v>78</v>
      </c>
      <c r="F112" s="3" t="s">
        <v>79</v>
      </c>
      <c r="G112" t="s">
        <v>61</v>
      </c>
      <c r="H112" t="s">
        <v>31</v>
      </c>
      <c r="I112" s="1">
        <v>635958851</v>
      </c>
      <c r="J112">
        <v>635958851</v>
      </c>
      <c r="K112" t="s">
        <v>26</v>
      </c>
      <c r="L112">
        <v>-30.9617349166286</v>
      </c>
      <c r="M112" t="b">
        <v>1</v>
      </c>
      <c r="N112">
        <v>4</v>
      </c>
      <c r="O112">
        <v>738429122.5</v>
      </c>
      <c r="P112" t="s">
        <v>36</v>
      </c>
      <c r="Q112" t="s">
        <v>25</v>
      </c>
    </row>
    <row r="113" spans="1:17">
      <c r="A113">
        <v>2023</v>
      </c>
      <c r="B113">
        <v>2020</v>
      </c>
      <c r="C113" t="s">
        <v>17</v>
      </c>
      <c r="D113" t="s">
        <v>18</v>
      </c>
      <c r="E113" t="s">
        <v>78</v>
      </c>
      <c r="F113" s="3" t="s">
        <v>79</v>
      </c>
      <c r="G113" t="s">
        <v>61</v>
      </c>
      <c r="H113" t="s">
        <v>31</v>
      </c>
      <c r="I113" s="1">
        <v>703716490</v>
      </c>
      <c r="J113">
        <v>703716490</v>
      </c>
      <c r="K113" t="s">
        <v>26</v>
      </c>
      <c r="L113" s="2" t="s">
        <v>110</v>
      </c>
      <c r="M113" t="b">
        <v>1</v>
      </c>
      <c r="N113">
        <v>4</v>
      </c>
      <c r="O113">
        <v>738429122.5</v>
      </c>
      <c r="P113" t="s">
        <v>36</v>
      </c>
      <c r="Q113" t="s">
        <v>25</v>
      </c>
    </row>
    <row r="114" spans="1:17">
      <c r="A114">
        <v>2020</v>
      </c>
      <c r="B114">
        <v>2020</v>
      </c>
      <c r="C114" t="s">
        <v>17</v>
      </c>
      <c r="D114" t="s">
        <v>18</v>
      </c>
      <c r="E114" t="s">
        <v>78</v>
      </c>
      <c r="F114" s="3" t="s">
        <v>79</v>
      </c>
      <c r="G114" t="s">
        <v>61</v>
      </c>
      <c r="H114" t="s">
        <v>31</v>
      </c>
      <c r="I114" s="1">
        <v>578831355</v>
      </c>
      <c r="J114">
        <v>578831355</v>
      </c>
      <c r="K114" t="s">
        <v>26</v>
      </c>
      <c r="L114">
        <v>-17.7465125195517</v>
      </c>
      <c r="M114" t="b">
        <v>1</v>
      </c>
      <c r="N114">
        <v>4</v>
      </c>
      <c r="O114">
        <v>738429122.5</v>
      </c>
      <c r="P114" t="s">
        <v>36</v>
      </c>
      <c r="Q114" t="s">
        <v>25</v>
      </c>
    </row>
    <row r="115" spans="1:17">
      <c r="A115">
        <v>2022</v>
      </c>
      <c r="B115">
        <v>2020</v>
      </c>
      <c r="C115" t="s">
        <v>17</v>
      </c>
      <c r="D115" t="s">
        <v>18</v>
      </c>
      <c r="E115" t="s">
        <v>28</v>
      </c>
      <c r="F115" s="3" t="s">
        <v>29</v>
      </c>
      <c r="G115" t="s">
        <v>30</v>
      </c>
      <c r="H115" t="s">
        <v>31</v>
      </c>
      <c r="I115" s="1">
        <v>6204</v>
      </c>
      <c r="J115">
        <v>6204</v>
      </c>
      <c r="K115" t="s">
        <v>32</v>
      </c>
      <c r="L115" s="2" t="s">
        <v>111</v>
      </c>
      <c r="M115" t="b">
        <v>1</v>
      </c>
      <c r="N115">
        <v>4</v>
      </c>
      <c r="O115" s="2" t="s">
        <v>33</v>
      </c>
      <c r="P115" t="s">
        <v>24</v>
      </c>
      <c r="Q115" t="s">
        <v>25</v>
      </c>
    </row>
    <row r="116" spans="1:17">
      <c r="A116">
        <v>2023</v>
      </c>
      <c r="B116">
        <v>2020</v>
      </c>
      <c r="C116" t="s">
        <v>17</v>
      </c>
      <c r="D116" t="s">
        <v>18</v>
      </c>
      <c r="E116" t="s">
        <v>28</v>
      </c>
      <c r="F116" s="3" t="s">
        <v>29</v>
      </c>
      <c r="G116" t="s">
        <v>30</v>
      </c>
      <c r="H116" t="s">
        <v>31</v>
      </c>
      <c r="I116" s="1">
        <v>6497</v>
      </c>
      <c r="J116">
        <v>6497</v>
      </c>
      <c r="K116" t="s">
        <v>32</v>
      </c>
      <c r="L116" s="2" t="s">
        <v>112</v>
      </c>
      <c r="M116" t="b">
        <v>1</v>
      </c>
      <c r="N116">
        <v>4</v>
      </c>
      <c r="O116" s="2" t="s">
        <v>33</v>
      </c>
      <c r="P116" t="s">
        <v>24</v>
      </c>
      <c r="Q116" t="s">
        <v>25</v>
      </c>
    </row>
    <row r="117" spans="1:17">
      <c r="A117">
        <v>2020</v>
      </c>
      <c r="B117">
        <v>2020</v>
      </c>
      <c r="C117" t="s">
        <v>17</v>
      </c>
      <c r="D117" t="s">
        <v>18</v>
      </c>
      <c r="E117" t="s">
        <v>28</v>
      </c>
      <c r="F117" s="3" t="s">
        <v>29</v>
      </c>
      <c r="G117" t="s">
        <v>30</v>
      </c>
      <c r="H117" t="s">
        <v>31</v>
      </c>
      <c r="I117" s="1">
        <v>6977</v>
      </c>
      <c r="J117">
        <v>6977</v>
      </c>
      <c r="K117" t="s">
        <v>32</v>
      </c>
      <c r="L117" s="2" t="s">
        <v>113</v>
      </c>
      <c r="M117" t="b">
        <v>1</v>
      </c>
      <c r="N117">
        <v>4</v>
      </c>
      <c r="O117" s="2" t="s">
        <v>33</v>
      </c>
      <c r="P117" t="s">
        <v>24</v>
      </c>
      <c r="Q117" t="s">
        <v>25</v>
      </c>
    </row>
    <row r="118" spans="1:17" ht="29">
      <c r="A118">
        <v>2022</v>
      </c>
      <c r="B118">
        <v>2020</v>
      </c>
      <c r="C118" t="s">
        <v>17</v>
      </c>
      <c r="D118" t="s">
        <v>18</v>
      </c>
      <c r="E118" t="s">
        <v>114</v>
      </c>
      <c r="F118" s="3" t="s">
        <v>115</v>
      </c>
      <c r="G118" t="s">
        <v>21</v>
      </c>
      <c r="H118" t="s">
        <v>22</v>
      </c>
      <c r="I118" s="1">
        <v>703716490</v>
      </c>
      <c r="J118">
        <v>703716490</v>
      </c>
      <c r="K118" t="s">
        <v>26</v>
      </c>
      <c r="M118" t="b">
        <v>1</v>
      </c>
      <c r="N118">
        <v>4</v>
      </c>
      <c r="O118">
        <v>351976579.75</v>
      </c>
      <c r="P118" t="s">
        <v>24</v>
      </c>
      <c r="Q118" t="s">
        <v>25</v>
      </c>
    </row>
    <row r="119" spans="1:17" ht="29">
      <c r="A119">
        <v>2023</v>
      </c>
      <c r="B119">
        <v>2020</v>
      </c>
      <c r="C119" t="s">
        <v>17</v>
      </c>
      <c r="D119" t="s">
        <v>18</v>
      </c>
      <c r="E119" t="s">
        <v>114</v>
      </c>
      <c r="F119" s="3" t="s">
        <v>115</v>
      </c>
      <c r="G119" t="s">
        <v>21</v>
      </c>
      <c r="H119" t="s">
        <v>22</v>
      </c>
      <c r="I119" s="1">
        <v>703716490</v>
      </c>
      <c r="J119">
        <v>703716490</v>
      </c>
      <c r="K119" t="s">
        <v>26</v>
      </c>
      <c r="L119">
        <v>0</v>
      </c>
      <c r="M119" t="b">
        <v>1</v>
      </c>
      <c r="N119">
        <v>4</v>
      </c>
      <c r="O119">
        <v>351976579.75</v>
      </c>
      <c r="P119" t="s">
        <v>24</v>
      </c>
      <c r="Q119" t="s">
        <v>25</v>
      </c>
    </row>
    <row r="120" spans="1:17" ht="29">
      <c r="A120">
        <v>2020</v>
      </c>
      <c r="B120">
        <v>2020</v>
      </c>
      <c r="C120" t="s">
        <v>17</v>
      </c>
      <c r="D120" t="s">
        <v>18</v>
      </c>
      <c r="E120" t="s">
        <v>114</v>
      </c>
      <c r="F120" s="3" t="s">
        <v>115</v>
      </c>
      <c r="G120" t="s">
        <v>21</v>
      </c>
      <c r="H120" t="s">
        <v>22</v>
      </c>
      <c r="I120" s="1">
        <v>195000</v>
      </c>
      <c r="J120">
        <v>195000</v>
      </c>
      <c r="K120" t="s">
        <v>32</v>
      </c>
      <c r="L120">
        <v>-99.972289977175294</v>
      </c>
      <c r="M120" t="b">
        <v>1</v>
      </c>
      <c r="N120">
        <v>4</v>
      </c>
      <c r="O120">
        <v>351976579.75</v>
      </c>
      <c r="P120" t="s">
        <v>24</v>
      </c>
      <c r="Q120" t="s">
        <v>25</v>
      </c>
    </row>
    <row r="121" spans="1:17">
      <c r="A121">
        <v>2021</v>
      </c>
      <c r="B121">
        <v>2020</v>
      </c>
      <c r="C121" t="s">
        <v>17</v>
      </c>
      <c r="D121" t="s">
        <v>18</v>
      </c>
      <c r="E121" t="s">
        <v>34</v>
      </c>
      <c r="F121" s="3" t="s">
        <v>35</v>
      </c>
      <c r="G121" t="s">
        <v>21</v>
      </c>
      <c r="H121" t="s">
        <v>22</v>
      </c>
      <c r="I121" s="1">
        <v>139383</v>
      </c>
      <c r="J121">
        <v>139383</v>
      </c>
      <c r="K121" t="s">
        <v>32</v>
      </c>
      <c r="L121">
        <v>-11.740457435222</v>
      </c>
      <c r="M121" t="b">
        <v>1</v>
      </c>
      <c r="N121">
        <v>4</v>
      </c>
      <c r="O121">
        <v>153547.625</v>
      </c>
      <c r="P121" t="s">
        <v>36</v>
      </c>
      <c r="Q121" t="s">
        <v>25</v>
      </c>
    </row>
    <row r="122" spans="1:17">
      <c r="A122">
        <v>2022</v>
      </c>
      <c r="B122">
        <v>2020</v>
      </c>
      <c r="C122" t="s">
        <v>17</v>
      </c>
      <c r="D122" t="s">
        <v>18</v>
      </c>
      <c r="E122" t="s">
        <v>34</v>
      </c>
      <c r="F122" s="3" t="s">
        <v>35</v>
      </c>
      <c r="G122" t="s">
        <v>21</v>
      </c>
      <c r="H122" t="s">
        <v>22</v>
      </c>
      <c r="I122" s="1">
        <v>171181</v>
      </c>
      <c r="J122">
        <v>171181</v>
      </c>
      <c r="K122" t="s">
        <v>32</v>
      </c>
      <c r="L122" s="2" t="s">
        <v>116</v>
      </c>
      <c r="M122" t="b">
        <v>1</v>
      </c>
      <c r="N122">
        <v>4</v>
      </c>
      <c r="O122">
        <v>153547.625</v>
      </c>
      <c r="P122" t="s">
        <v>36</v>
      </c>
      <c r="Q122" t="s">
        <v>25</v>
      </c>
    </row>
    <row r="123" spans="1:17">
      <c r="A123">
        <v>2023</v>
      </c>
      <c r="B123">
        <v>2020</v>
      </c>
      <c r="C123" t="s">
        <v>17</v>
      </c>
      <c r="D123" t="s">
        <v>18</v>
      </c>
      <c r="E123" t="s">
        <v>34</v>
      </c>
      <c r="F123" s="3" t="s">
        <v>35</v>
      </c>
      <c r="G123" t="s">
        <v>21</v>
      </c>
      <c r="H123" t="s">
        <v>22</v>
      </c>
      <c r="I123" s="1">
        <v>157924</v>
      </c>
      <c r="J123">
        <v>157924</v>
      </c>
      <c r="K123" t="s">
        <v>32</v>
      </c>
      <c r="L123">
        <v>-7.7444342538015301</v>
      </c>
      <c r="M123" t="b">
        <v>1</v>
      </c>
      <c r="N123">
        <v>4</v>
      </c>
      <c r="O123">
        <v>153547.625</v>
      </c>
      <c r="P123" t="s">
        <v>36</v>
      </c>
      <c r="Q123" t="s">
        <v>25</v>
      </c>
    </row>
    <row r="124" spans="1:17" ht="29">
      <c r="A124">
        <v>2022</v>
      </c>
      <c r="B124">
        <v>2020</v>
      </c>
      <c r="C124" t="s">
        <v>17</v>
      </c>
      <c r="D124" t="s">
        <v>18</v>
      </c>
      <c r="E124" t="s">
        <v>117</v>
      </c>
      <c r="F124" s="3" t="s">
        <v>118</v>
      </c>
      <c r="G124" t="s">
        <v>40</v>
      </c>
      <c r="H124" t="s">
        <v>22</v>
      </c>
      <c r="I124" s="1">
        <v>149270000</v>
      </c>
      <c r="J124">
        <v>149270000</v>
      </c>
      <c r="K124" t="s">
        <v>26</v>
      </c>
      <c r="M124" t="b">
        <v>1</v>
      </c>
      <c r="N124">
        <v>4</v>
      </c>
      <c r="O124">
        <v>156832250</v>
      </c>
      <c r="P124" t="s">
        <v>36</v>
      </c>
      <c r="Q124" t="s">
        <v>25</v>
      </c>
    </row>
    <row r="125" spans="1:17" ht="29">
      <c r="A125">
        <v>2023</v>
      </c>
      <c r="B125">
        <v>2020</v>
      </c>
      <c r="C125" t="s">
        <v>17</v>
      </c>
      <c r="D125" t="s">
        <v>18</v>
      </c>
      <c r="E125" t="s">
        <v>117</v>
      </c>
      <c r="F125" s="3" t="s">
        <v>118</v>
      </c>
      <c r="G125" t="s">
        <v>40</v>
      </c>
      <c r="H125" t="s">
        <v>22</v>
      </c>
      <c r="I125" s="1">
        <v>253387000</v>
      </c>
      <c r="J125">
        <v>253387000</v>
      </c>
      <c r="K125" t="s">
        <v>26</v>
      </c>
      <c r="L125" s="2" t="s">
        <v>119</v>
      </c>
      <c r="M125" t="b">
        <v>1</v>
      </c>
      <c r="N125">
        <v>4</v>
      </c>
      <c r="O125">
        <v>156832250</v>
      </c>
      <c r="P125" t="s">
        <v>36</v>
      </c>
      <c r="Q125" t="s">
        <v>25</v>
      </c>
    </row>
    <row r="126" spans="1:17" ht="29">
      <c r="A126">
        <v>2020</v>
      </c>
      <c r="B126">
        <v>2020</v>
      </c>
      <c r="C126" t="s">
        <v>17</v>
      </c>
      <c r="D126" t="s">
        <v>18</v>
      </c>
      <c r="E126" t="s">
        <v>117</v>
      </c>
      <c r="F126" s="3" t="s">
        <v>118</v>
      </c>
      <c r="G126" t="s">
        <v>40</v>
      </c>
      <c r="H126" t="s">
        <v>22</v>
      </c>
      <c r="I126" s="1">
        <v>171639000</v>
      </c>
      <c r="J126">
        <v>171639000</v>
      </c>
      <c r="K126" t="s">
        <v>26</v>
      </c>
      <c r="L126">
        <v>-32.262112894505201</v>
      </c>
      <c r="M126" t="b">
        <v>1</v>
      </c>
      <c r="N126">
        <v>4</v>
      </c>
      <c r="O126">
        <v>156832250</v>
      </c>
      <c r="P126" t="s">
        <v>36</v>
      </c>
      <c r="Q126" t="s">
        <v>25</v>
      </c>
    </row>
    <row r="127" spans="1:17">
      <c r="A127">
        <v>2020</v>
      </c>
      <c r="B127">
        <v>2020</v>
      </c>
      <c r="C127" t="s">
        <v>17</v>
      </c>
      <c r="D127" t="s">
        <v>18</v>
      </c>
      <c r="E127" t="s">
        <v>56</v>
      </c>
      <c r="F127" s="3" t="s">
        <v>57</v>
      </c>
      <c r="G127" t="s">
        <v>21</v>
      </c>
      <c r="H127" t="s">
        <v>22</v>
      </c>
      <c r="I127" s="1">
        <v>78291417</v>
      </c>
      <c r="J127">
        <v>78291417</v>
      </c>
      <c r="K127" t="s">
        <v>23</v>
      </c>
      <c r="L127" s="2" t="s">
        <v>120</v>
      </c>
      <c r="M127" t="b">
        <v>1</v>
      </c>
      <c r="N127">
        <v>4</v>
      </c>
      <c r="O127">
        <v>190634414.125</v>
      </c>
      <c r="P127" t="s">
        <v>24</v>
      </c>
      <c r="Q127" t="s">
        <v>25</v>
      </c>
    </row>
    <row r="128" spans="1:17">
      <c r="A128">
        <v>2021</v>
      </c>
      <c r="B128">
        <v>2020</v>
      </c>
      <c r="C128" t="s">
        <v>17</v>
      </c>
      <c r="D128" t="s">
        <v>18</v>
      </c>
      <c r="E128" t="s">
        <v>56</v>
      </c>
      <c r="F128" s="3" t="s">
        <v>57</v>
      </c>
      <c r="G128" t="s">
        <v>21</v>
      </c>
      <c r="H128" t="s">
        <v>22</v>
      </c>
      <c r="I128" s="1">
        <v>90431351</v>
      </c>
      <c r="J128">
        <v>90431351</v>
      </c>
      <c r="K128" t="s">
        <v>23</v>
      </c>
      <c r="L128" s="2" t="s">
        <v>121</v>
      </c>
      <c r="M128" t="b">
        <v>1</v>
      </c>
      <c r="N128">
        <v>4</v>
      </c>
      <c r="O128">
        <v>190634414.125</v>
      </c>
      <c r="P128" t="s">
        <v>24</v>
      </c>
      <c r="Q128" t="s">
        <v>25</v>
      </c>
    </row>
    <row r="129" spans="1:17">
      <c r="A129">
        <v>2022</v>
      </c>
      <c r="B129">
        <v>2020</v>
      </c>
      <c r="C129" t="s">
        <v>17</v>
      </c>
      <c r="D129" t="s">
        <v>18</v>
      </c>
      <c r="E129" t="s">
        <v>56</v>
      </c>
      <c r="F129" s="3" t="s">
        <v>57</v>
      </c>
      <c r="G129" t="s">
        <v>21</v>
      </c>
      <c r="H129" t="s">
        <v>22</v>
      </c>
      <c r="I129" s="1">
        <v>90516897</v>
      </c>
      <c r="J129">
        <v>90516897</v>
      </c>
      <c r="K129" t="s">
        <v>23</v>
      </c>
      <c r="L129">
        <v>9.4597724189693297E-2</v>
      </c>
      <c r="M129" t="b">
        <v>1</v>
      </c>
      <c r="N129">
        <v>4</v>
      </c>
      <c r="O129">
        <v>190634414.125</v>
      </c>
      <c r="P129" t="s">
        <v>24</v>
      </c>
      <c r="Q129" t="s">
        <v>25</v>
      </c>
    </row>
    <row r="130" spans="1:17">
      <c r="A130">
        <v>2022</v>
      </c>
      <c r="B130">
        <v>2020</v>
      </c>
      <c r="C130" t="s">
        <v>17</v>
      </c>
      <c r="D130" t="s">
        <v>18</v>
      </c>
      <c r="E130" t="s">
        <v>122</v>
      </c>
      <c r="F130" s="3" t="s">
        <v>123</v>
      </c>
      <c r="G130" t="s">
        <v>40</v>
      </c>
      <c r="H130" t="s">
        <v>22</v>
      </c>
      <c r="I130" s="1">
        <v>512797000</v>
      </c>
      <c r="J130">
        <v>512797000</v>
      </c>
      <c r="K130" t="s">
        <v>26</v>
      </c>
      <c r="M130" t="b">
        <v>1</v>
      </c>
      <c r="N130">
        <v>4</v>
      </c>
      <c r="O130">
        <v>614407000</v>
      </c>
      <c r="P130" t="s">
        <v>24</v>
      </c>
      <c r="Q130" t="s">
        <v>25</v>
      </c>
    </row>
    <row r="131" spans="1:17">
      <c r="A131">
        <v>2023</v>
      </c>
      <c r="B131">
        <v>2020</v>
      </c>
      <c r="C131" t="s">
        <v>17</v>
      </c>
      <c r="D131" t="s">
        <v>18</v>
      </c>
      <c r="E131" t="s">
        <v>122</v>
      </c>
      <c r="F131" s="3" t="s">
        <v>123</v>
      </c>
      <c r="G131" t="s">
        <v>40</v>
      </c>
      <c r="H131" t="s">
        <v>22</v>
      </c>
      <c r="I131" s="1">
        <v>870475000</v>
      </c>
      <c r="J131">
        <v>870475000</v>
      </c>
      <c r="K131" t="s">
        <v>26</v>
      </c>
      <c r="L131" s="2" t="s">
        <v>124</v>
      </c>
      <c r="M131" t="b">
        <v>1</v>
      </c>
      <c r="N131">
        <v>4</v>
      </c>
      <c r="O131">
        <v>614407000</v>
      </c>
      <c r="P131" t="s">
        <v>24</v>
      </c>
      <c r="Q131" t="s">
        <v>25</v>
      </c>
    </row>
    <row r="132" spans="1:17">
      <c r="A132">
        <v>2020</v>
      </c>
      <c r="B132">
        <v>2020</v>
      </c>
      <c r="C132" t="s">
        <v>17</v>
      </c>
      <c r="D132" t="s">
        <v>18</v>
      </c>
      <c r="E132" t="s">
        <v>122</v>
      </c>
      <c r="F132" s="3" t="s">
        <v>123</v>
      </c>
      <c r="G132" t="s">
        <v>40</v>
      </c>
      <c r="H132" t="s">
        <v>22</v>
      </c>
      <c r="I132" s="1">
        <v>720925000</v>
      </c>
      <c r="J132">
        <v>720925000</v>
      </c>
      <c r="K132" t="s">
        <v>26</v>
      </c>
      <c r="L132">
        <v>-17.180275137137698</v>
      </c>
      <c r="M132" t="b">
        <v>1</v>
      </c>
      <c r="N132">
        <v>4</v>
      </c>
      <c r="O132">
        <v>614407000</v>
      </c>
      <c r="P132" t="s">
        <v>24</v>
      </c>
      <c r="Q132" t="s">
        <v>25</v>
      </c>
    </row>
    <row r="133" spans="1:17">
      <c r="A133">
        <v>2022</v>
      </c>
      <c r="B133">
        <v>2020</v>
      </c>
      <c r="C133" t="s">
        <v>17</v>
      </c>
      <c r="D133" t="s">
        <v>18</v>
      </c>
      <c r="E133" t="s">
        <v>82</v>
      </c>
      <c r="F133" s="3" t="s">
        <v>83</v>
      </c>
      <c r="G133" t="s">
        <v>21</v>
      </c>
      <c r="H133" t="s">
        <v>22</v>
      </c>
      <c r="I133" s="1">
        <v>2930865</v>
      </c>
      <c r="J133">
        <v>2930865</v>
      </c>
      <c r="K133" t="s">
        <v>23</v>
      </c>
      <c r="L133" s="2" t="s">
        <v>125</v>
      </c>
      <c r="M133" t="b">
        <v>1</v>
      </c>
      <c r="N133">
        <v>4</v>
      </c>
      <c r="O133">
        <v>2167758.375</v>
      </c>
      <c r="P133" t="s">
        <v>24</v>
      </c>
      <c r="Q133" t="s">
        <v>25</v>
      </c>
    </row>
    <row r="134" spans="1:17">
      <c r="A134">
        <v>2023</v>
      </c>
      <c r="B134">
        <v>2020</v>
      </c>
      <c r="C134" t="s">
        <v>17</v>
      </c>
      <c r="D134" t="s">
        <v>18</v>
      </c>
      <c r="E134" t="s">
        <v>82</v>
      </c>
      <c r="F134" s="3" t="s">
        <v>83</v>
      </c>
      <c r="G134" t="s">
        <v>21</v>
      </c>
      <c r="H134" t="s">
        <v>22</v>
      </c>
      <c r="I134" s="1">
        <v>2147166</v>
      </c>
      <c r="J134">
        <v>2147166</v>
      </c>
      <c r="K134" t="s">
        <v>23</v>
      </c>
      <c r="L134">
        <v>-26.739512055314702</v>
      </c>
      <c r="M134" t="b">
        <v>1</v>
      </c>
      <c r="N134">
        <v>4</v>
      </c>
      <c r="O134">
        <v>2167758.375</v>
      </c>
      <c r="P134" t="s">
        <v>24</v>
      </c>
      <c r="Q134" t="s">
        <v>25</v>
      </c>
    </row>
    <row r="135" spans="1:17">
      <c r="A135">
        <v>2020</v>
      </c>
      <c r="B135">
        <v>2020</v>
      </c>
      <c r="C135" t="s">
        <v>17</v>
      </c>
      <c r="D135" t="s">
        <v>18</v>
      </c>
      <c r="E135" t="s">
        <v>82</v>
      </c>
      <c r="F135" s="3" t="s">
        <v>83</v>
      </c>
      <c r="G135" t="s">
        <v>21</v>
      </c>
      <c r="H135" t="s">
        <v>22</v>
      </c>
      <c r="I135" s="1">
        <v>2456260</v>
      </c>
      <c r="J135">
        <v>2456260</v>
      </c>
      <c r="K135" t="s">
        <v>23</v>
      </c>
      <c r="L135" s="2" t="s">
        <v>126</v>
      </c>
      <c r="M135" t="b">
        <v>1</v>
      </c>
      <c r="N135">
        <v>4</v>
      </c>
      <c r="O135">
        <v>2167758.375</v>
      </c>
      <c r="P135" t="s">
        <v>24</v>
      </c>
      <c r="Q135" t="s">
        <v>25</v>
      </c>
    </row>
    <row r="136" spans="1:17">
      <c r="A136">
        <v>2022</v>
      </c>
      <c r="B136">
        <v>2020</v>
      </c>
      <c r="C136" t="s">
        <v>17</v>
      </c>
      <c r="D136" t="s">
        <v>18</v>
      </c>
      <c r="E136" t="s">
        <v>38</v>
      </c>
      <c r="F136" s="3" t="s">
        <v>39</v>
      </c>
      <c r="G136" t="s">
        <v>40</v>
      </c>
      <c r="H136" t="s">
        <v>22</v>
      </c>
      <c r="I136" s="1">
        <v>703716490</v>
      </c>
      <c r="J136">
        <v>703716490</v>
      </c>
      <c r="K136" t="s">
        <v>26</v>
      </c>
      <c r="L136">
        <v>0</v>
      </c>
      <c r="M136" t="b">
        <v>1</v>
      </c>
      <c r="N136">
        <v>4</v>
      </c>
      <c r="O136">
        <v>703716490</v>
      </c>
      <c r="P136" t="s">
        <v>41</v>
      </c>
      <c r="Q136" t="s">
        <v>25</v>
      </c>
    </row>
    <row r="137" spans="1:17">
      <c r="A137">
        <v>2023</v>
      </c>
      <c r="B137">
        <v>2020</v>
      </c>
      <c r="C137" t="s">
        <v>17</v>
      </c>
      <c r="D137" t="s">
        <v>18</v>
      </c>
      <c r="E137" t="s">
        <v>38</v>
      </c>
      <c r="F137" s="3" t="s">
        <v>39</v>
      </c>
      <c r="G137" t="s">
        <v>40</v>
      </c>
      <c r="H137" t="s">
        <v>22</v>
      </c>
      <c r="I137" s="1">
        <v>703716490</v>
      </c>
      <c r="J137">
        <v>703716490</v>
      </c>
      <c r="K137" t="s">
        <v>26</v>
      </c>
      <c r="L137">
        <v>0</v>
      </c>
      <c r="M137" t="b">
        <v>1</v>
      </c>
      <c r="N137">
        <v>4</v>
      </c>
      <c r="O137">
        <v>703716490</v>
      </c>
      <c r="P137" t="s">
        <v>41</v>
      </c>
      <c r="Q137" t="s">
        <v>25</v>
      </c>
    </row>
    <row r="138" spans="1:17">
      <c r="A138">
        <v>2020</v>
      </c>
      <c r="B138">
        <v>2020</v>
      </c>
      <c r="C138" t="s">
        <v>17</v>
      </c>
      <c r="D138" t="s">
        <v>18</v>
      </c>
      <c r="E138" t="s">
        <v>38</v>
      </c>
      <c r="F138" s="3" t="s">
        <v>39</v>
      </c>
      <c r="G138" t="s">
        <v>40</v>
      </c>
      <c r="H138" t="s">
        <v>22</v>
      </c>
      <c r="I138" s="1">
        <v>703716490</v>
      </c>
      <c r="J138">
        <v>703716490</v>
      </c>
      <c r="K138" t="s">
        <v>26</v>
      </c>
      <c r="L138">
        <v>0</v>
      </c>
      <c r="M138" t="b">
        <v>1</v>
      </c>
      <c r="N138">
        <v>4</v>
      </c>
      <c r="O138">
        <v>703716490</v>
      </c>
      <c r="P138" t="s">
        <v>41</v>
      </c>
      <c r="Q138" t="s">
        <v>25</v>
      </c>
    </row>
    <row r="139" spans="1:17" ht="29">
      <c r="A139">
        <v>2022</v>
      </c>
      <c r="B139">
        <v>2020</v>
      </c>
      <c r="C139" t="s">
        <v>17</v>
      </c>
      <c r="D139" t="s">
        <v>18</v>
      </c>
      <c r="E139" t="s">
        <v>47</v>
      </c>
      <c r="F139" s="3" t="s">
        <v>48</v>
      </c>
      <c r="G139" t="s">
        <v>40</v>
      </c>
      <c r="H139" t="s">
        <v>22</v>
      </c>
      <c r="I139" s="1">
        <v>4211216800</v>
      </c>
      <c r="J139">
        <v>4211216800</v>
      </c>
      <c r="K139" t="s">
        <v>26</v>
      </c>
      <c r="L139" s="2" t="s">
        <v>127</v>
      </c>
      <c r="M139" t="b">
        <v>1</v>
      </c>
      <c r="N139">
        <v>4</v>
      </c>
      <c r="O139">
        <v>2578410250</v>
      </c>
      <c r="P139" t="s">
        <v>24</v>
      </c>
      <c r="Q139" t="s">
        <v>25</v>
      </c>
    </row>
    <row r="140" spans="1:17" ht="29">
      <c r="A140">
        <v>2023</v>
      </c>
      <c r="B140">
        <v>2020</v>
      </c>
      <c r="C140" t="s">
        <v>17</v>
      </c>
      <c r="D140" t="s">
        <v>18</v>
      </c>
      <c r="E140" t="s">
        <v>47</v>
      </c>
      <c r="F140" s="3" t="s">
        <v>48</v>
      </c>
      <c r="G140" t="s">
        <v>40</v>
      </c>
      <c r="H140" t="s">
        <v>22</v>
      </c>
      <c r="I140" s="1">
        <v>5268207817</v>
      </c>
      <c r="J140">
        <v>5268207817</v>
      </c>
      <c r="K140" t="s">
        <v>26</v>
      </c>
      <c r="L140" s="2" t="s">
        <v>128</v>
      </c>
      <c r="M140" t="b">
        <v>1</v>
      </c>
      <c r="N140">
        <v>4</v>
      </c>
      <c r="O140">
        <v>2578410250</v>
      </c>
      <c r="P140" t="s">
        <v>24</v>
      </c>
      <c r="Q140" t="s">
        <v>25</v>
      </c>
    </row>
    <row r="141" spans="1:17" ht="29">
      <c r="A141">
        <v>2020</v>
      </c>
      <c r="B141">
        <v>2020</v>
      </c>
      <c r="C141" t="s">
        <v>17</v>
      </c>
      <c r="D141" t="s">
        <v>18</v>
      </c>
      <c r="E141" t="s">
        <v>47</v>
      </c>
      <c r="F141" s="3" t="s">
        <v>48</v>
      </c>
      <c r="G141" t="s">
        <v>40</v>
      </c>
      <c r="H141" t="s">
        <v>22</v>
      </c>
      <c r="I141" s="1">
        <v>4419994076</v>
      </c>
      <c r="J141">
        <v>4419994076</v>
      </c>
      <c r="K141" t="s">
        <v>26</v>
      </c>
      <c r="L141">
        <v>-16.100612778844699</v>
      </c>
      <c r="M141" t="b">
        <v>1</v>
      </c>
      <c r="N141">
        <v>4</v>
      </c>
      <c r="O141">
        <v>2578410250</v>
      </c>
      <c r="P141" t="s">
        <v>24</v>
      </c>
      <c r="Q141" t="s">
        <v>25</v>
      </c>
    </row>
    <row r="142" spans="1:17" ht="29">
      <c r="A142">
        <v>2022</v>
      </c>
      <c r="B142">
        <v>2020</v>
      </c>
      <c r="C142" t="s">
        <v>17</v>
      </c>
      <c r="D142" t="s">
        <v>18</v>
      </c>
      <c r="E142" t="s">
        <v>19</v>
      </c>
      <c r="F142" s="3" t="s">
        <v>20</v>
      </c>
      <c r="G142" t="s">
        <v>21</v>
      </c>
      <c r="H142" t="s">
        <v>22</v>
      </c>
      <c r="I142" s="1">
        <v>6679500</v>
      </c>
      <c r="J142">
        <v>6679500</v>
      </c>
      <c r="K142" t="s">
        <v>23</v>
      </c>
      <c r="L142">
        <v>-52.2769390766668</v>
      </c>
      <c r="M142" t="b">
        <v>1</v>
      </c>
      <c r="N142">
        <v>4</v>
      </c>
      <c r="O142">
        <v>99912404.875</v>
      </c>
      <c r="P142" t="s">
        <v>24</v>
      </c>
      <c r="Q142" t="s">
        <v>25</v>
      </c>
    </row>
    <row r="143" spans="1:17" ht="29">
      <c r="A143">
        <v>2023</v>
      </c>
      <c r="B143">
        <v>2020</v>
      </c>
      <c r="C143" t="s">
        <v>17</v>
      </c>
      <c r="D143" t="s">
        <v>18</v>
      </c>
      <c r="E143" t="s">
        <v>19</v>
      </c>
      <c r="F143" s="3" t="s">
        <v>20</v>
      </c>
      <c r="G143" t="s">
        <v>21</v>
      </c>
      <c r="H143" t="s">
        <v>22</v>
      </c>
      <c r="I143" s="1">
        <v>6849353</v>
      </c>
      <c r="J143">
        <v>6849353</v>
      </c>
      <c r="K143" t="s">
        <v>23</v>
      </c>
      <c r="L143" s="2" t="s">
        <v>129</v>
      </c>
      <c r="M143" t="b">
        <v>1</v>
      </c>
      <c r="N143">
        <v>4</v>
      </c>
      <c r="O143">
        <v>99912404.875</v>
      </c>
      <c r="P143" t="s">
        <v>24</v>
      </c>
      <c r="Q143" t="s">
        <v>25</v>
      </c>
    </row>
    <row r="144" spans="1:17" ht="29">
      <c r="A144">
        <v>2020</v>
      </c>
      <c r="B144">
        <v>2020</v>
      </c>
      <c r="C144" t="s">
        <v>17</v>
      </c>
      <c r="D144" t="s">
        <v>18</v>
      </c>
      <c r="E144" t="s">
        <v>19</v>
      </c>
      <c r="F144" s="3" t="s">
        <v>20</v>
      </c>
      <c r="G144" t="s">
        <v>21</v>
      </c>
      <c r="H144" t="s">
        <v>22</v>
      </c>
      <c r="I144" s="1">
        <v>8591640</v>
      </c>
      <c r="J144">
        <v>8591640</v>
      </c>
      <c r="K144" t="s">
        <v>23</v>
      </c>
      <c r="L144" s="2" t="s">
        <v>130</v>
      </c>
      <c r="M144" t="b">
        <v>1</v>
      </c>
      <c r="N144">
        <v>4</v>
      </c>
      <c r="O144">
        <v>99912404.875</v>
      </c>
      <c r="P144" t="s">
        <v>24</v>
      </c>
      <c r="Q144" t="s">
        <v>25</v>
      </c>
    </row>
    <row r="145" spans="1:17">
      <c r="A145">
        <v>2022</v>
      </c>
      <c r="B145">
        <v>2020</v>
      </c>
      <c r="C145" t="s">
        <v>17</v>
      </c>
      <c r="D145" t="s">
        <v>18</v>
      </c>
      <c r="E145" t="s">
        <v>67</v>
      </c>
      <c r="F145" s="3" t="s">
        <v>68</v>
      </c>
      <c r="G145" t="s">
        <v>61</v>
      </c>
      <c r="H145" t="s">
        <v>31</v>
      </c>
      <c r="I145" s="1">
        <v>703716490</v>
      </c>
      <c r="J145">
        <v>703716490</v>
      </c>
      <c r="K145" t="s">
        <v>26</v>
      </c>
      <c r="L145">
        <v>0</v>
      </c>
      <c r="M145" t="b">
        <v>1</v>
      </c>
      <c r="N145">
        <v>4</v>
      </c>
      <c r="O145">
        <v>703716490</v>
      </c>
      <c r="P145" t="s">
        <v>41</v>
      </c>
      <c r="Q145" t="s">
        <v>25</v>
      </c>
    </row>
    <row r="146" spans="1:17">
      <c r="A146">
        <v>2023</v>
      </c>
      <c r="B146">
        <v>2020</v>
      </c>
      <c r="C146" t="s">
        <v>17</v>
      </c>
      <c r="D146" t="s">
        <v>18</v>
      </c>
      <c r="E146" t="s">
        <v>67</v>
      </c>
      <c r="F146" s="3" t="s">
        <v>68</v>
      </c>
      <c r="G146" t="s">
        <v>61</v>
      </c>
      <c r="H146" t="s">
        <v>31</v>
      </c>
      <c r="I146" s="1">
        <v>703716490</v>
      </c>
      <c r="J146">
        <v>703716490</v>
      </c>
      <c r="K146" t="s">
        <v>26</v>
      </c>
      <c r="L146">
        <v>0</v>
      </c>
      <c r="M146" t="b">
        <v>1</v>
      </c>
      <c r="N146">
        <v>4</v>
      </c>
      <c r="O146">
        <v>703716490</v>
      </c>
      <c r="P146" t="s">
        <v>41</v>
      </c>
      <c r="Q146" t="s">
        <v>25</v>
      </c>
    </row>
    <row r="147" spans="1:17">
      <c r="A147">
        <v>2020</v>
      </c>
      <c r="B147">
        <v>2020</v>
      </c>
      <c r="C147" t="s">
        <v>17</v>
      </c>
      <c r="D147" t="s">
        <v>18</v>
      </c>
      <c r="E147" t="s">
        <v>67</v>
      </c>
      <c r="F147" s="3" t="s">
        <v>68</v>
      </c>
      <c r="G147" t="s">
        <v>61</v>
      </c>
      <c r="H147" t="s">
        <v>31</v>
      </c>
      <c r="I147" s="1">
        <v>703716490</v>
      </c>
      <c r="J147">
        <v>703716490</v>
      </c>
      <c r="K147" t="s">
        <v>26</v>
      </c>
      <c r="L147">
        <v>0</v>
      </c>
      <c r="M147" t="b">
        <v>1</v>
      </c>
      <c r="N147">
        <v>4</v>
      </c>
      <c r="O147">
        <v>703716490</v>
      </c>
      <c r="P147" t="s">
        <v>41</v>
      </c>
      <c r="Q147" t="s">
        <v>25</v>
      </c>
    </row>
    <row r="148" spans="1:17">
      <c r="A148">
        <v>2022</v>
      </c>
      <c r="B148">
        <v>2020</v>
      </c>
      <c r="C148" t="s">
        <v>17</v>
      </c>
      <c r="D148" t="s">
        <v>18</v>
      </c>
      <c r="E148" t="s">
        <v>98</v>
      </c>
      <c r="F148" s="3" t="s">
        <v>99</v>
      </c>
      <c r="G148" t="s">
        <v>21</v>
      </c>
      <c r="H148" t="s">
        <v>22</v>
      </c>
      <c r="I148" s="1">
        <v>35142752</v>
      </c>
      <c r="J148">
        <v>35142752</v>
      </c>
      <c r="K148" t="s">
        <v>23</v>
      </c>
      <c r="L148" s="2" t="s">
        <v>131</v>
      </c>
      <c r="M148" t="b">
        <v>1</v>
      </c>
      <c r="N148">
        <v>4</v>
      </c>
      <c r="O148">
        <v>16440389.375</v>
      </c>
      <c r="P148" t="s">
        <v>24</v>
      </c>
      <c r="Q148" t="s">
        <v>25</v>
      </c>
    </row>
    <row r="149" spans="1:17">
      <c r="A149">
        <v>2023</v>
      </c>
      <c r="B149">
        <v>2020</v>
      </c>
      <c r="C149" t="s">
        <v>17</v>
      </c>
      <c r="D149" t="s">
        <v>18</v>
      </c>
      <c r="E149" t="s">
        <v>98</v>
      </c>
      <c r="F149" s="3" t="s">
        <v>99</v>
      </c>
      <c r="G149" t="s">
        <v>21</v>
      </c>
      <c r="H149" t="s">
        <v>22</v>
      </c>
      <c r="I149" s="1">
        <v>65528693</v>
      </c>
      <c r="J149">
        <v>65528693</v>
      </c>
      <c r="K149" t="s">
        <v>23</v>
      </c>
      <c r="L149" s="2" t="s">
        <v>132</v>
      </c>
      <c r="M149" t="b">
        <v>1</v>
      </c>
      <c r="N149">
        <v>4</v>
      </c>
      <c r="O149">
        <v>16440389.375</v>
      </c>
      <c r="P149" t="s">
        <v>24</v>
      </c>
      <c r="Q149" t="s">
        <v>25</v>
      </c>
    </row>
    <row r="150" spans="1:17">
      <c r="A150">
        <v>2020</v>
      </c>
      <c r="B150">
        <v>2020</v>
      </c>
      <c r="C150" t="s">
        <v>17</v>
      </c>
      <c r="D150" t="s">
        <v>18</v>
      </c>
      <c r="E150" t="s">
        <v>98</v>
      </c>
      <c r="F150" s="3" t="s">
        <v>99</v>
      </c>
      <c r="G150" t="s">
        <v>21</v>
      </c>
      <c r="H150" t="s">
        <v>22</v>
      </c>
      <c r="I150" s="1">
        <v>10983088</v>
      </c>
      <c r="J150">
        <v>10983088</v>
      </c>
      <c r="K150" t="s">
        <v>23</v>
      </c>
      <c r="L150">
        <v>-83.239268941316993</v>
      </c>
      <c r="M150" t="b">
        <v>1</v>
      </c>
      <c r="N150">
        <v>4</v>
      </c>
      <c r="O150">
        <v>16440389.375</v>
      </c>
      <c r="P150" t="s">
        <v>24</v>
      </c>
      <c r="Q150" t="s">
        <v>25</v>
      </c>
    </row>
    <row r="151" spans="1:17">
      <c r="A151">
        <v>2022</v>
      </c>
      <c r="B151">
        <v>2020</v>
      </c>
      <c r="C151" t="s">
        <v>17</v>
      </c>
      <c r="D151" t="s">
        <v>18</v>
      </c>
      <c r="E151" t="s">
        <v>38</v>
      </c>
      <c r="F151" s="3" t="s">
        <v>39</v>
      </c>
      <c r="G151" t="s">
        <v>40</v>
      </c>
      <c r="H151" t="s">
        <v>22</v>
      </c>
      <c r="I151" s="1">
        <v>703716490</v>
      </c>
      <c r="J151">
        <v>703716490</v>
      </c>
      <c r="K151" t="s">
        <v>26</v>
      </c>
      <c r="L151">
        <v>0</v>
      </c>
      <c r="M151" t="b">
        <v>1</v>
      </c>
      <c r="N151">
        <v>4</v>
      </c>
      <c r="O151">
        <v>703716490</v>
      </c>
      <c r="P151" t="s">
        <v>41</v>
      </c>
      <c r="Q151" t="s">
        <v>25</v>
      </c>
    </row>
    <row r="152" spans="1:17">
      <c r="A152">
        <v>2023</v>
      </c>
      <c r="B152">
        <v>2020</v>
      </c>
      <c r="C152" t="s">
        <v>17</v>
      </c>
      <c r="D152" t="s">
        <v>18</v>
      </c>
      <c r="E152" t="s">
        <v>38</v>
      </c>
      <c r="F152" s="3" t="s">
        <v>39</v>
      </c>
      <c r="G152" t="s">
        <v>40</v>
      </c>
      <c r="H152" t="s">
        <v>22</v>
      </c>
      <c r="I152" s="1">
        <v>703716490</v>
      </c>
      <c r="J152">
        <v>703716490</v>
      </c>
      <c r="K152" t="s">
        <v>26</v>
      </c>
      <c r="L152">
        <v>0</v>
      </c>
      <c r="M152" t="b">
        <v>1</v>
      </c>
      <c r="N152">
        <v>4</v>
      </c>
      <c r="O152">
        <v>703716490</v>
      </c>
      <c r="P152" t="s">
        <v>41</v>
      </c>
      <c r="Q152" t="s">
        <v>25</v>
      </c>
    </row>
    <row r="153" spans="1:17">
      <c r="A153">
        <v>2020</v>
      </c>
      <c r="B153">
        <v>2020</v>
      </c>
      <c r="C153" t="s">
        <v>17</v>
      </c>
      <c r="D153" t="s">
        <v>18</v>
      </c>
      <c r="E153" t="s">
        <v>38</v>
      </c>
      <c r="F153" s="3" t="s">
        <v>39</v>
      </c>
      <c r="G153" t="s">
        <v>40</v>
      </c>
      <c r="H153" t="s">
        <v>22</v>
      </c>
      <c r="I153" s="1">
        <v>703716490</v>
      </c>
      <c r="J153">
        <v>703716490</v>
      </c>
      <c r="K153" t="s">
        <v>26</v>
      </c>
      <c r="L153">
        <v>0</v>
      </c>
      <c r="M153" t="b">
        <v>1</v>
      </c>
      <c r="N153">
        <v>4</v>
      </c>
      <c r="O153">
        <v>703716490</v>
      </c>
      <c r="P153" t="s">
        <v>41</v>
      </c>
      <c r="Q153" t="s">
        <v>25</v>
      </c>
    </row>
    <row r="154" spans="1:17">
      <c r="A154">
        <v>2022</v>
      </c>
      <c r="B154">
        <v>2020</v>
      </c>
      <c r="C154" t="s">
        <v>17</v>
      </c>
      <c r="D154" t="s">
        <v>18</v>
      </c>
      <c r="E154" t="s">
        <v>67</v>
      </c>
      <c r="F154" s="3" t="s">
        <v>68</v>
      </c>
      <c r="G154" t="s">
        <v>61</v>
      </c>
      <c r="H154" t="s">
        <v>31</v>
      </c>
      <c r="I154" s="1">
        <v>703716490</v>
      </c>
      <c r="J154">
        <v>703716490</v>
      </c>
      <c r="K154" t="s">
        <v>26</v>
      </c>
      <c r="L154">
        <v>0</v>
      </c>
      <c r="M154" t="b">
        <v>1</v>
      </c>
      <c r="N154">
        <v>4</v>
      </c>
      <c r="O154">
        <v>703716490</v>
      </c>
      <c r="P154" t="s">
        <v>41</v>
      </c>
      <c r="Q154" t="s">
        <v>25</v>
      </c>
    </row>
    <row r="155" spans="1:17">
      <c r="A155">
        <v>2023</v>
      </c>
      <c r="B155">
        <v>2020</v>
      </c>
      <c r="C155" t="s">
        <v>17</v>
      </c>
      <c r="D155" t="s">
        <v>18</v>
      </c>
      <c r="E155" t="s">
        <v>67</v>
      </c>
      <c r="F155" s="3" t="s">
        <v>68</v>
      </c>
      <c r="G155" t="s">
        <v>61</v>
      </c>
      <c r="H155" t="s">
        <v>31</v>
      </c>
      <c r="I155" s="1">
        <v>703716490</v>
      </c>
      <c r="J155">
        <v>703716490</v>
      </c>
      <c r="K155" t="s">
        <v>26</v>
      </c>
      <c r="L155">
        <v>0</v>
      </c>
      <c r="M155" t="b">
        <v>1</v>
      </c>
      <c r="N155">
        <v>4</v>
      </c>
      <c r="O155">
        <v>703716490</v>
      </c>
      <c r="P155" t="s">
        <v>41</v>
      </c>
      <c r="Q155" t="s">
        <v>25</v>
      </c>
    </row>
    <row r="156" spans="1:17">
      <c r="A156">
        <v>2020</v>
      </c>
      <c r="B156">
        <v>2020</v>
      </c>
      <c r="C156" t="s">
        <v>17</v>
      </c>
      <c r="D156" t="s">
        <v>18</v>
      </c>
      <c r="E156" t="s">
        <v>67</v>
      </c>
      <c r="F156" s="3" t="s">
        <v>68</v>
      </c>
      <c r="G156" t="s">
        <v>61</v>
      </c>
      <c r="H156" t="s">
        <v>31</v>
      </c>
      <c r="I156" s="1">
        <v>703716490</v>
      </c>
      <c r="J156">
        <v>703716490</v>
      </c>
      <c r="K156" t="s">
        <v>26</v>
      </c>
      <c r="L156">
        <v>0</v>
      </c>
      <c r="M156" t="b">
        <v>1</v>
      </c>
      <c r="N156">
        <v>4</v>
      </c>
      <c r="O156">
        <v>703716490</v>
      </c>
      <c r="P156" t="s">
        <v>41</v>
      </c>
      <c r="Q156" t="s">
        <v>25</v>
      </c>
    </row>
    <row r="157" spans="1:17" ht="29">
      <c r="A157">
        <v>2022</v>
      </c>
      <c r="B157">
        <v>2020</v>
      </c>
      <c r="C157" t="s">
        <v>17</v>
      </c>
      <c r="D157" t="s">
        <v>18</v>
      </c>
      <c r="E157" t="s">
        <v>114</v>
      </c>
      <c r="F157" s="3" t="s">
        <v>115</v>
      </c>
      <c r="G157" t="s">
        <v>21</v>
      </c>
      <c r="H157" t="s">
        <v>22</v>
      </c>
      <c r="I157" s="1">
        <v>703716490</v>
      </c>
      <c r="J157">
        <v>703716490</v>
      </c>
      <c r="K157" t="s">
        <v>26</v>
      </c>
      <c r="L157" s="2" t="s">
        <v>133</v>
      </c>
      <c r="M157" t="b">
        <v>1</v>
      </c>
      <c r="N157">
        <v>4</v>
      </c>
      <c r="O157">
        <v>351976579.75</v>
      </c>
      <c r="P157" t="s">
        <v>24</v>
      </c>
      <c r="Q157" t="s">
        <v>25</v>
      </c>
    </row>
    <row r="158" spans="1:17" ht="29">
      <c r="A158">
        <v>2023</v>
      </c>
      <c r="B158">
        <v>2020</v>
      </c>
      <c r="C158" t="s">
        <v>17</v>
      </c>
      <c r="D158" t="s">
        <v>18</v>
      </c>
      <c r="E158" t="s">
        <v>114</v>
      </c>
      <c r="F158" s="3" t="s">
        <v>115</v>
      </c>
      <c r="G158" t="s">
        <v>21</v>
      </c>
      <c r="H158" t="s">
        <v>22</v>
      </c>
      <c r="I158" s="1">
        <v>703716490</v>
      </c>
      <c r="J158">
        <v>703716490</v>
      </c>
      <c r="K158" t="s">
        <v>26</v>
      </c>
      <c r="L158">
        <v>0</v>
      </c>
      <c r="M158" t="b">
        <v>1</v>
      </c>
      <c r="N158">
        <v>4</v>
      </c>
      <c r="O158">
        <v>351976579.75</v>
      </c>
      <c r="P158" t="s">
        <v>24</v>
      </c>
      <c r="Q158" t="s">
        <v>25</v>
      </c>
    </row>
    <row r="159" spans="1:17" ht="29">
      <c r="A159">
        <v>2020</v>
      </c>
      <c r="B159">
        <v>2020</v>
      </c>
      <c r="C159" t="s">
        <v>17</v>
      </c>
      <c r="D159" t="s">
        <v>18</v>
      </c>
      <c r="E159" t="s">
        <v>114</v>
      </c>
      <c r="F159" s="3" t="s">
        <v>115</v>
      </c>
      <c r="G159" t="s">
        <v>21</v>
      </c>
      <c r="H159" t="s">
        <v>22</v>
      </c>
      <c r="I159" s="1">
        <v>120000</v>
      </c>
      <c r="J159">
        <v>120000</v>
      </c>
      <c r="K159" t="s">
        <v>32</v>
      </c>
      <c r="L159">
        <v>-99.982947678261695</v>
      </c>
      <c r="M159" t="b">
        <v>1</v>
      </c>
      <c r="N159">
        <v>4</v>
      </c>
      <c r="O159">
        <v>351976579.75</v>
      </c>
      <c r="P159" t="s">
        <v>24</v>
      </c>
      <c r="Q159" t="s">
        <v>25</v>
      </c>
    </row>
    <row r="160" spans="1:17">
      <c r="A160">
        <v>2022</v>
      </c>
      <c r="B160">
        <v>2020</v>
      </c>
      <c r="C160" t="s">
        <v>17</v>
      </c>
      <c r="D160" t="s">
        <v>18</v>
      </c>
      <c r="E160" t="s">
        <v>65</v>
      </c>
      <c r="F160" s="3" t="s">
        <v>66</v>
      </c>
      <c r="G160" t="s">
        <v>30</v>
      </c>
      <c r="H160" t="s">
        <v>22</v>
      </c>
      <c r="I160" s="1">
        <v>9483763505</v>
      </c>
      <c r="J160">
        <v>9483763505</v>
      </c>
      <c r="K160" t="s">
        <v>26</v>
      </c>
      <c r="L160" s="2" t="s">
        <v>134</v>
      </c>
      <c r="M160" t="b">
        <v>1</v>
      </c>
      <c r="N160">
        <v>4</v>
      </c>
      <c r="O160">
        <v>2742906750</v>
      </c>
      <c r="P160" t="s">
        <v>24</v>
      </c>
      <c r="Q160" t="s">
        <v>25</v>
      </c>
    </row>
    <row r="161" spans="1:17">
      <c r="A161">
        <v>2023</v>
      </c>
      <c r="B161">
        <v>2020</v>
      </c>
      <c r="C161" t="s">
        <v>17</v>
      </c>
      <c r="D161" t="s">
        <v>18</v>
      </c>
      <c r="E161" t="s">
        <v>65</v>
      </c>
      <c r="F161" s="3" t="s">
        <v>66</v>
      </c>
      <c r="G161" t="s">
        <v>30</v>
      </c>
      <c r="H161" t="s">
        <v>22</v>
      </c>
      <c r="I161" s="1">
        <v>8840528395</v>
      </c>
      <c r="J161">
        <v>8840528395</v>
      </c>
      <c r="K161" t="s">
        <v>26</v>
      </c>
      <c r="L161">
        <v>-6.7824878768948098</v>
      </c>
      <c r="M161" t="b">
        <v>1</v>
      </c>
      <c r="N161">
        <v>4</v>
      </c>
      <c r="O161">
        <v>2742906750</v>
      </c>
      <c r="P161" t="s">
        <v>24</v>
      </c>
      <c r="Q161" t="s">
        <v>25</v>
      </c>
    </row>
    <row r="162" spans="1:17">
      <c r="A162">
        <v>2020</v>
      </c>
      <c r="B162">
        <v>2020</v>
      </c>
      <c r="C162" t="s">
        <v>17</v>
      </c>
      <c r="D162" t="s">
        <v>18</v>
      </c>
      <c r="E162" t="s">
        <v>65</v>
      </c>
      <c r="F162" s="3" t="s">
        <v>66</v>
      </c>
      <c r="G162" t="s">
        <v>30</v>
      </c>
      <c r="H162" t="s">
        <v>22</v>
      </c>
      <c r="I162" s="1">
        <v>666753370</v>
      </c>
      <c r="J162">
        <v>666753370</v>
      </c>
      <c r="K162" t="s">
        <v>26</v>
      </c>
      <c r="L162">
        <v>-92.457991873233496</v>
      </c>
      <c r="M162" t="b">
        <v>1</v>
      </c>
      <c r="N162">
        <v>4</v>
      </c>
      <c r="O162">
        <v>2742906750</v>
      </c>
      <c r="P162" t="s">
        <v>24</v>
      </c>
      <c r="Q162" t="s">
        <v>25</v>
      </c>
    </row>
    <row r="163" spans="1:17">
      <c r="A163">
        <v>2021</v>
      </c>
      <c r="B163">
        <v>2020</v>
      </c>
      <c r="C163" t="s">
        <v>17</v>
      </c>
      <c r="D163" t="s">
        <v>18</v>
      </c>
      <c r="E163" t="s">
        <v>28</v>
      </c>
      <c r="F163" s="3" t="s">
        <v>29</v>
      </c>
      <c r="G163" t="s">
        <v>30</v>
      </c>
      <c r="H163" t="s">
        <v>31</v>
      </c>
      <c r="I163" s="1">
        <v>14705</v>
      </c>
      <c r="J163">
        <v>14705</v>
      </c>
      <c r="K163" t="s">
        <v>32</v>
      </c>
      <c r="L163" s="2" t="s">
        <v>135</v>
      </c>
      <c r="M163" t="b">
        <v>1</v>
      </c>
      <c r="N163">
        <v>4</v>
      </c>
      <c r="O163" s="2" t="s">
        <v>33</v>
      </c>
      <c r="P163" t="s">
        <v>24</v>
      </c>
      <c r="Q163" t="s">
        <v>25</v>
      </c>
    </row>
    <row r="164" spans="1:17">
      <c r="A164">
        <v>2020</v>
      </c>
      <c r="B164">
        <v>2020</v>
      </c>
      <c r="C164" t="s">
        <v>17</v>
      </c>
      <c r="D164" t="s">
        <v>18</v>
      </c>
      <c r="E164" t="s">
        <v>34</v>
      </c>
      <c r="F164" s="3" t="s">
        <v>35</v>
      </c>
      <c r="G164" t="s">
        <v>21</v>
      </c>
      <c r="H164" t="s">
        <v>22</v>
      </c>
      <c r="I164" s="1">
        <v>174531</v>
      </c>
      <c r="J164">
        <v>174531</v>
      </c>
      <c r="K164" t="s">
        <v>32</v>
      </c>
      <c r="L164" s="2" t="s">
        <v>136</v>
      </c>
      <c r="M164" t="b">
        <v>1</v>
      </c>
      <c r="N164">
        <v>4</v>
      </c>
      <c r="O164">
        <v>153547.625</v>
      </c>
      <c r="P164" t="s">
        <v>36</v>
      </c>
      <c r="Q164" t="s">
        <v>25</v>
      </c>
    </row>
    <row r="165" spans="1:17">
      <c r="A165">
        <v>2021</v>
      </c>
      <c r="B165">
        <v>2020</v>
      </c>
      <c r="C165" t="s">
        <v>17</v>
      </c>
      <c r="D165" t="s">
        <v>18</v>
      </c>
      <c r="E165" t="s">
        <v>44</v>
      </c>
      <c r="F165" s="3" t="s">
        <v>45</v>
      </c>
      <c r="G165" t="s">
        <v>40</v>
      </c>
      <c r="H165" t="s">
        <v>22</v>
      </c>
      <c r="I165" s="1">
        <v>167977000</v>
      </c>
      <c r="J165">
        <v>167977000</v>
      </c>
      <c r="K165" t="s">
        <v>26</v>
      </c>
      <c r="L165">
        <v>-69.885585411153897</v>
      </c>
      <c r="M165" t="b">
        <v>1</v>
      </c>
      <c r="N165">
        <v>4</v>
      </c>
      <c r="O165">
        <v>769230750</v>
      </c>
      <c r="P165" t="s">
        <v>36</v>
      </c>
      <c r="Q165" t="s">
        <v>25</v>
      </c>
    </row>
    <row r="166" spans="1:17">
      <c r="A166">
        <v>2021</v>
      </c>
      <c r="B166">
        <v>2020</v>
      </c>
      <c r="C166" t="s">
        <v>17</v>
      </c>
      <c r="D166" t="s">
        <v>18</v>
      </c>
      <c r="E166" t="s">
        <v>28</v>
      </c>
      <c r="F166" s="3" t="s">
        <v>29</v>
      </c>
      <c r="G166" t="s">
        <v>30</v>
      </c>
      <c r="H166" t="s">
        <v>31</v>
      </c>
      <c r="I166" s="1">
        <v>6741</v>
      </c>
      <c r="J166">
        <v>6741</v>
      </c>
      <c r="K166" t="s">
        <v>32</v>
      </c>
      <c r="L166">
        <v>-54.158449506970399</v>
      </c>
      <c r="M166" t="b">
        <v>1</v>
      </c>
      <c r="N166">
        <v>4</v>
      </c>
      <c r="O166" s="2" t="s">
        <v>33</v>
      </c>
      <c r="P166" t="s">
        <v>24</v>
      </c>
      <c r="Q166" t="s">
        <v>25</v>
      </c>
    </row>
    <row r="167" spans="1:17" ht="29">
      <c r="A167">
        <v>2021</v>
      </c>
      <c r="B167">
        <v>2020</v>
      </c>
      <c r="C167" t="s">
        <v>17</v>
      </c>
      <c r="D167" t="s">
        <v>18</v>
      </c>
      <c r="E167" t="s">
        <v>47</v>
      </c>
      <c r="F167" s="3" t="s">
        <v>48</v>
      </c>
      <c r="G167" t="s">
        <v>40</v>
      </c>
      <c r="H167" t="s">
        <v>22</v>
      </c>
      <c r="I167" s="1">
        <v>1955556949</v>
      </c>
      <c r="J167">
        <v>1955556949</v>
      </c>
      <c r="K167" t="s">
        <v>26</v>
      </c>
      <c r="L167">
        <v>-55.7565708149152</v>
      </c>
      <c r="M167" t="b">
        <v>1</v>
      </c>
      <c r="N167">
        <v>4</v>
      </c>
      <c r="O167">
        <v>2578410250</v>
      </c>
      <c r="P167" t="s">
        <v>24</v>
      </c>
      <c r="Q167" t="s">
        <v>25</v>
      </c>
    </row>
    <row r="168" spans="1:17" ht="29">
      <c r="A168">
        <v>2021</v>
      </c>
      <c r="B168">
        <v>2020</v>
      </c>
      <c r="C168" t="s">
        <v>17</v>
      </c>
      <c r="D168" t="s">
        <v>18</v>
      </c>
      <c r="E168" t="s">
        <v>51</v>
      </c>
      <c r="F168" s="3" t="s">
        <v>52</v>
      </c>
      <c r="G168" t="s">
        <v>30</v>
      </c>
      <c r="H168" t="s">
        <v>22</v>
      </c>
      <c r="I168" s="1">
        <v>703716490</v>
      </c>
      <c r="J168">
        <v>703716490</v>
      </c>
      <c r="K168" t="s">
        <v>26</v>
      </c>
      <c r="L168">
        <v>0</v>
      </c>
      <c r="M168" t="b">
        <v>1</v>
      </c>
      <c r="N168">
        <v>4</v>
      </c>
      <c r="O168">
        <v>703716490</v>
      </c>
      <c r="P168" t="s">
        <v>41</v>
      </c>
      <c r="Q168" t="s">
        <v>25</v>
      </c>
    </row>
    <row r="169" spans="1:17" ht="29">
      <c r="A169">
        <v>2022</v>
      </c>
      <c r="B169">
        <v>2020</v>
      </c>
      <c r="C169" t="s">
        <v>17</v>
      </c>
      <c r="D169" t="s">
        <v>18</v>
      </c>
      <c r="E169" t="s">
        <v>47</v>
      </c>
      <c r="F169" s="3" t="s">
        <v>48</v>
      </c>
      <c r="G169" t="s">
        <v>40</v>
      </c>
      <c r="H169" t="s">
        <v>22</v>
      </c>
      <c r="I169" s="1">
        <v>724232248</v>
      </c>
      <c r="J169">
        <v>724232248</v>
      </c>
      <c r="K169" t="s">
        <v>26</v>
      </c>
      <c r="L169">
        <v>-62.965422798331403</v>
      </c>
      <c r="M169" t="b">
        <v>1</v>
      </c>
      <c r="N169">
        <v>4</v>
      </c>
      <c r="O169">
        <v>2578410250</v>
      </c>
      <c r="P169" t="s">
        <v>24</v>
      </c>
      <c r="Q169" t="s">
        <v>25</v>
      </c>
    </row>
    <row r="170" spans="1:17" ht="29">
      <c r="A170">
        <v>2023</v>
      </c>
      <c r="B170">
        <v>2020</v>
      </c>
      <c r="C170" t="s">
        <v>17</v>
      </c>
      <c r="D170" t="s">
        <v>18</v>
      </c>
      <c r="E170" t="s">
        <v>47</v>
      </c>
      <c r="F170" s="3" t="s">
        <v>48</v>
      </c>
      <c r="G170" t="s">
        <v>40</v>
      </c>
      <c r="H170" t="s">
        <v>22</v>
      </c>
      <c r="I170" s="1">
        <v>906010346</v>
      </c>
      <c r="J170">
        <v>906010346</v>
      </c>
      <c r="K170" t="s">
        <v>26</v>
      </c>
      <c r="L170" s="2" t="s">
        <v>137</v>
      </c>
      <c r="M170" t="b">
        <v>1</v>
      </c>
      <c r="N170">
        <v>4</v>
      </c>
      <c r="O170">
        <v>2578410250</v>
      </c>
      <c r="P170" t="s">
        <v>24</v>
      </c>
      <c r="Q170" t="s">
        <v>25</v>
      </c>
    </row>
    <row r="171" spans="1:17" ht="29">
      <c r="A171">
        <v>2020</v>
      </c>
      <c r="B171">
        <v>2020</v>
      </c>
      <c r="C171" t="s">
        <v>17</v>
      </c>
      <c r="D171" t="s">
        <v>18</v>
      </c>
      <c r="E171" t="s">
        <v>47</v>
      </c>
      <c r="F171" s="3" t="s">
        <v>48</v>
      </c>
      <c r="G171" t="s">
        <v>40</v>
      </c>
      <c r="H171" t="s">
        <v>22</v>
      </c>
      <c r="I171" s="1">
        <v>1620024183</v>
      </c>
      <c r="J171">
        <v>1620024183</v>
      </c>
      <c r="K171" t="s">
        <v>26</v>
      </c>
      <c r="L171" s="2" t="s">
        <v>138</v>
      </c>
      <c r="M171" t="b">
        <v>1</v>
      </c>
      <c r="N171">
        <v>4</v>
      </c>
      <c r="O171">
        <v>2578410250</v>
      </c>
      <c r="P171" t="s">
        <v>24</v>
      </c>
      <c r="Q171" t="s">
        <v>25</v>
      </c>
    </row>
    <row r="172" spans="1:17">
      <c r="A172">
        <v>2022</v>
      </c>
      <c r="B172">
        <v>2020</v>
      </c>
      <c r="C172" t="s">
        <v>17</v>
      </c>
      <c r="D172" t="s">
        <v>18</v>
      </c>
      <c r="E172" t="s">
        <v>56</v>
      </c>
      <c r="F172" s="3" t="s">
        <v>57</v>
      </c>
      <c r="G172" t="s">
        <v>21</v>
      </c>
      <c r="H172" t="s">
        <v>22</v>
      </c>
      <c r="I172" s="1">
        <v>2100997</v>
      </c>
      <c r="J172">
        <v>2100997</v>
      </c>
      <c r="K172" t="s">
        <v>23</v>
      </c>
      <c r="L172">
        <v>-97.678889721551101</v>
      </c>
      <c r="M172" t="b">
        <v>1</v>
      </c>
      <c r="N172">
        <v>4</v>
      </c>
      <c r="O172">
        <v>190634414.125</v>
      </c>
      <c r="P172" t="s">
        <v>24</v>
      </c>
      <c r="Q172" t="s">
        <v>25</v>
      </c>
    </row>
    <row r="173" spans="1:17">
      <c r="A173">
        <v>2021</v>
      </c>
      <c r="B173">
        <v>2020</v>
      </c>
      <c r="C173" t="s">
        <v>17</v>
      </c>
      <c r="D173" t="s">
        <v>18</v>
      </c>
      <c r="E173" t="s">
        <v>59</v>
      </c>
      <c r="F173" s="3" t="s">
        <v>60</v>
      </c>
      <c r="G173" t="s">
        <v>61</v>
      </c>
      <c r="H173" t="s">
        <v>31</v>
      </c>
      <c r="I173" s="1">
        <v>1468400000</v>
      </c>
      <c r="J173">
        <v>1468400000</v>
      </c>
      <c r="K173" t="s">
        <v>26</v>
      </c>
      <c r="L173" s="2" t="s">
        <v>139</v>
      </c>
      <c r="M173" t="b">
        <v>1</v>
      </c>
      <c r="N173">
        <v>4</v>
      </c>
      <c r="O173">
        <v>1289654122.5</v>
      </c>
      <c r="P173" t="s">
        <v>24</v>
      </c>
      <c r="Q173" t="s">
        <v>25</v>
      </c>
    </row>
    <row r="174" spans="1:17">
      <c r="A174">
        <v>2021</v>
      </c>
      <c r="B174">
        <v>2020</v>
      </c>
      <c r="C174" t="s">
        <v>17</v>
      </c>
      <c r="D174" t="s">
        <v>18</v>
      </c>
      <c r="E174" t="s">
        <v>56</v>
      </c>
      <c r="F174" s="3" t="s">
        <v>57</v>
      </c>
      <c r="G174" t="s">
        <v>21</v>
      </c>
      <c r="H174" t="s">
        <v>22</v>
      </c>
      <c r="I174" s="1">
        <v>4911513</v>
      </c>
      <c r="J174">
        <v>4911513</v>
      </c>
      <c r="K174" t="s">
        <v>23</v>
      </c>
      <c r="L174" s="2" t="s">
        <v>140</v>
      </c>
      <c r="M174" t="b">
        <v>1</v>
      </c>
      <c r="N174">
        <v>4</v>
      </c>
      <c r="O174">
        <v>190634414.125</v>
      </c>
      <c r="P174" t="s">
        <v>24</v>
      </c>
      <c r="Q174" t="s">
        <v>25</v>
      </c>
    </row>
    <row r="175" spans="1:17">
      <c r="A175">
        <v>2021</v>
      </c>
      <c r="B175">
        <v>2020</v>
      </c>
      <c r="C175" t="s">
        <v>17</v>
      </c>
      <c r="D175" t="s">
        <v>18</v>
      </c>
      <c r="E175" t="s">
        <v>65</v>
      </c>
      <c r="F175" s="3" t="s">
        <v>66</v>
      </c>
      <c r="G175" t="s">
        <v>30</v>
      </c>
      <c r="H175" t="s">
        <v>22</v>
      </c>
      <c r="I175" s="1">
        <v>111013786</v>
      </c>
      <c r="J175">
        <v>111013786</v>
      </c>
      <c r="K175" t="s">
        <v>26</v>
      </c>
      <c r="L175">
        <v>-83.350097503069193</v>
      </c>
      <c r="M175" t="b">
        <v>1</v>
      </c>
      <c r="N175">
        <v>4</v>
      </c>
      <c r="O175">
        <v>2742906750</v>
      </c>
      <c r="P175" t="s">
        <v>24</v>
      </c>
      <c r="Q175" t="s">
        <v>25</v>
      </c>
    </row>
    <row r="176" spans="1:17">
      <c r="A176">
        <v>2021</v>
      </c>
      <c r="B176">
        <v>2020</v>
      </c>
      <c r="C176" t="s">
        <v>17</v>
      </c>
      <c r="D176" t="s">
        <v>18</v>
      </c>
      <c r="E176" t="s">
        <v>67</v>
      </c>
      <c r="F176" s="3" t="s">
        <v>68</v>
      </c>
      <c r="G176" t="s">
        <v>61</v>
      </c>
      <c r="H176" t="s">
        <v>31</v>
      </c>
      <c r="I176" s="1">
        <v>703716490</v>
      </c>
      <c r="J176">
        <v>703716490</v>
      </c>
      <c r="K176" t="s">
        <v>26</v>
      </c>
      <c r="L176">
        <v>0</v>
      </c>
      <c r="M176" t="b">
        <v>1</v>
      </c>
      <c r="N176">
        <v>4</v>
      </c>
      <c r="O176">
        <v>703716490</v>
      </c>
      <c r="P176" t="s">
        <v>41</v>
      </c>
      <c r="Q176" t="s">
        <v>25</v>
      </c>
    </row>
    <row r="177" spans="1:17">
      <c r="A177">
        <v>2021</v>
      </c>
      <c r="B177">
        <v>2020</v>
      </c>
      <c r="C177" t="s">
        <v>17</v>
      </c>
      <c r="D177" t="s">
        <v>18</v>
      </c>
      <c r="E177" t="s">
        <v>69</v>
      </c>
      <c r="F177" s="3" t="s">
        <v>70</v>
      </c>
      <c r="G177" t="s">
        <v>21</v>
      </c>
      <c r="H177" t="s">
        <v>22</v>
      </c>
      <c r="I177" s="1">
        <v>703716490</v>
      </c>
      <c r="J177">
        <v>703716490</v>
      </c>
      <c r="K177" t="s">
        <v>26</v>
      </c>
      <c r="L177">
        <v>0</v>
      </c>
      <c r="M177" t="b">
        <v>1</v>
      </c>
      <c r="N177">
        <v>4</v>
      </c>
      <c r="O177">
        <v>703716490</v>
      </c>
      <c r="P177" t="s">
        <v>41</v>
      </c>
      <c r="Q177" t="s">
        <v>25</v>
      </c>
    </row>
    <row r="178" spans="1:17" ht="29">
      <c r="A178">
        <v>2021</v>
      </c>
      <c r="B178">
        <v>2020</v>
      </c>
      <c r="C178" t="s">
        <v>17</v>
      </c>
      <c r="D178" t="s">
        <v>18</v>
      </c>
      <c r="E178" t="s">
        <v>47</v>
      </c>
      <c r="F178" s="3" t="s">
        <v>48</v>
      </c>
      <c r="G178" t="s">
        <v>40</v>
      </c>
      <c r="H178" t="s">
        <v>22</v>
      </c>
      <c r="I178" s="1">
        <v>803740431</v>
      </c>
      <c r="J178">
        <v>803740431</v>
      </c>
      <c r="K178" t="s">
        <v>26</v>
      </c>
      <c r="L178">
        <v>-50.387133757990298</v>
      </c>
      <c r="M178" t="b">
        <v>1</v>
      </c>
      <c r="N178">
        <v>4</v>
      </c>
      <c r="O178">
        <v>2578410250</v>
      </c>
      <c r="P178" t="s">
        <v>24</v>
      </c>
      <c r="Q178" t="s">
        <v>25</v>
      </c>
    </row>
    <row r="179" spans="1:17">
      <c r="A179">
        <v>2021</v>
      </c>
      <c r="B179">
        <v>2020</v>
      </c>
      <c r="C179" t="s">
        <v>17</v>
      </c>
      <c r="D179" t="s">
        <v>18</v>
      </c>
      <c r="E179" t="s">
        <v>71</v>
      </c>
      <c r="F179" s="3" t="s">
        <v>72</v>
      </c>
      <c r="G179" t="s">
        <v>21</v>
      </c>
      <c r="H179" t="s">
        <v>22</v>
      </c>
      <c r="I179" s="1">
        <v>148394102</v>
      </c>
      <c r="J179">
        <v>148394102</v>
      </c>
      <c r="K179" t="s">
        <v>26</v>
      </c>
      <c r="L179" s="2" t="s">
        <v>141</v>
      </c>
      <c r="M179" t="b">
        <v>1</v>
      </c>
      <c r="N179">
        <v>4</v>
      </c>
      <c r="O179">
        <v>140908336.375</v>
      </c>
      <c r="P179" t="s">
        <v>24</v>
      </c>
      <c r="Q179" t="s">
        <v>25</v>
      </c>
    </row>
    <row r="180" spans="1:17">
      <c r="A180">
        <v>2021</v>
      </c>
      <c r="B180">
        <v>2020</v>
      </c>
      <c r="C180" t="s">
        <v>17</v>
      </c>
      <c r="D180" t="s">
        <v>18</v>
      </c>
      <c r="E180" t="s">
        <v>28</v>
      </c>
      <c r="F180" s="3" t="s">
        <v>29</v>
      </c>
      <c r="G180" t="s">
        <v>30</v>
      </c>
      <c r="H180" t="s">
        <v>31</v>
      </c>
      <c r="I180" s="1">
        <v>270747</v>
      </c>
      <c r="J180">
        <v>270747</v>
      </c>
      <c r="K180" t="s">
        <v>32</v>
      </c>
      <c r="L180" s="2" t="s">
        <v>142</v>
      </c>
      <c r="M180" t="b">
        <v>1</v>
      </c>
      <c r="N180">
        <v>4</v>
      </c>
      <c r="O180" s="2" t="s">
        <v>33</v>
      </c>
      <c r="P180" t="s">
        <v>24</v>
      </c>
      <c r="Q180" t="s">
        <v>25</v>
      </c>
    </row>
    <row r="181" spans="1:17" ht="43.5">
      <c r="A181">
        <v>2021</v>
      </c>
      <c r="B181">
        <v>2020</v>
      </c>
      <c r="C181" t="s">
        <v>17</v>
      </c>
      <c r="D181" t="s">
        <v>18</v>
      </c>
      <c r="E181" t="s">
        <v>42</v>
      </c>
      <c r="F181" s="3" t="s">
        <v>43</v>
      </c>
      <c r="G181" t="s">
        <v>21</v>
      </c>
      <c r="H181" t="s">
        <v>22</v>
      </c>
      <c r="I181" s="1">
        <v>136502</v>
      </c>
      <c r="J181">
        <v>136502</v>
      </c>
      <c r="K181" t="s">
        <v>32</v>
      </c>
      <c r="L181" s="2" t="s">
        <v>143</v>
      </c>
      <c r="M181" t="b">
        <v>1</v>
      </c>
      <c r="N181">
        <v>4</v>
      </c>
      <c r="O181">
        <v>88658573</v>
      </c>
      <c r="P181" t="s">
        <v>24</v>
      </c>
      <c r="Q181" t="s">
        <v>25</v>
      </c>
    </row>
    <row r="182" spans="1:17">
      <c r="A182">
        <v>2021</v>
      </c>
      <c r="B182">
        <v>2020</v>
      </c>
      <c r="C182" t="s">
        <v>17</v>
      </c>
      <c r="D182" t="s">
        <v>18</v>
      </c>
      <c r="E182" t="s">
        <v>78</v>
      </c>
      <c r="F182" s="3" t="s">
        <v>79</v>
      </c>
      <c r="G182" t="s">
        <v>61</v>
      </c>
      <c r="H182" t="s">
        <v>31</v>
      </c>
      <c r="I182" s="1">
        <v>806267499</v>
      </c>
      <c r="J182">
        <v>806267499</v>
      </c>
      <c r="K182" t="s">
        <v>26</v>
      </c>
      <c r="L182" s="2" t="s">
        <v>144</v>
      </c>
      <c r="M182" t="b">
        <v>1</v>
      </c>
      <c r="N182">
        <v>4</v>
      </c>
      <c r="O182">
        <v>738429122.5</v>
      </c>
      <c r="P182" t="s">
        <v>36</v>
      </c>
      <c r="Q182" t="s">
        <v>25</v>
      </c>
    </row>
    <row r="183" spans="1:17">
      <c r="A183">
        <v>2021</v>
      </c>
      <c r="B183">
        <v>2020</v>
      </c>
      <c r="C183" t="s">
        <v>17</v>
      </c>
      <c r="D183" t="s">
        <v>18</v>
      </c>
      <c r="E183" t="s">
        <v>67</v>
      </c>
      <c r="F183" s="3" t="s">
        <v>68</v>
      </c>
      <c r="G183" t="s">
        <v>61</v>
      </c>
      <c r="H183" t="s">
        <v>31</v>
      </c>
      <c r="I183" s="1">
        <v>703716490</v>
      </c>
      <c r="J183">
        <v>703716490</v>
      </c>
      <c r="K183" t="s">
        <v>26</v>
      </c>
      <c r="L183">
        <v>0</v>
      </c>
      <c r="M183" t="b">
        <v>1</v>
      </c>
      <c r="N183">
        <v>4</v>
      </c>
      <c r="O183">
        <v>703716490</v>
      </c>
      <c r="P183" t="s">
        <v>41</v>
      </c>
      <c r="Q183" t="s">
        <v>25</v>
      </c>
    </row>
    <row r="184" spans="1:17">
      <c r="A184">
        <v>2021</v>
      </c>
      <c r="B184">
        <v>2020</v>
      </c>
      <c r="C184" t="s">
        <v>17</v>
      </c>
      <c r="D184" t="s">
        <v>18</v>
      </c>
      <c r="E184" t="s">
        <v>28</v>
      </c>
      <c r="F184" s="3" t="s">
        <v>29</v>
      </c>
      <c r="G184" t="s">
        <v>30</v>
      </c>
      <c r="H184" t="s">
        <v>31</v>
      </c>
      <c r="I184" s="1">
        <v>5800</v>
      </c>
      <c r="J184">
        <v>5800</v>
      </c>
      <c r="K184" t="s">
        <v>32</v>
      </c>
      <c r="L184">
        <v>-97.857778664214194</v>
      </c>
      <c r="M184" t="b">
        <v>1</v>
      </c>
      <c r="N184">
        <v>4</v>
      </c>
      <c r="O184" s="2" t="s">
        <v>33</v>
      </c>
      <c r="P184" t="s">
        <v>24</v>
      </c>
      <c r="Q184" t="s">
        <v>25</v>
      </c>
    </row>
    <row r="185" spans="1:17">
      <c r="A185">
        <v>2021</v>
      </c>
      <c r="B185">
        <v>2020</v>
      </c>
      <c r="C185" t="s">
        <v>17</v>
      </c>
      <c r="D185" t="s">
        <v>18</v>
      </c>
      <c r="E185" t="s">
        <v>82</v>
      </c>
      <c r="F185" s="3" t="s">
        <v>83</v>
      </c>
      <c r="G185" t="s">
        <v>21</v>
      </c>
      <c r="H185" t="s">
        <v>22</v>
      </c>
      <c r="I185" s="1">
        <v>1570406</v>
      </c>
      <c r="J185">
        <v>1570406</v>
      </c>
      <c r="K185" t="s">
        <v>23</v>
      </c>
      <c r="L185">
        <v>-36.065155968830602</v>
      </c>
      <c r="M185" t="b">
        <v>1</v>
      </c>
      <c r="N185">
        <v>4</v>
      </c>
      <c r="O185">
        <v>2167758.375</v>
      </c>
      <c r="P185" t="s">
        <v>24</v>
      </c>
      <c r="Q185" t="s">
        <v>25</v>
      </c>
    </row>
    <row r="186" spans="1:17">
      <c r="A186">
        <v>2020</v>
      </c>
      <c r="B186">
        <v>2020</v>
      </c>
      <c r="C186" t="s">
        <v>17</v>
      </c>
      <c r="D186" t="s">
        <v>18</v>
      </c>
      <c r="E186" t="s">
        <v>56</v>
      </c>
      <c r="F186" s="3" t="s">
        <v>57</v>
      </c>
      <c r="G186" t="s">
        <v>21</v>
      </c>
      <c r="H186" t="s">
        <v>22</v>
      </c>
      <c r="I186" s="1">
        <v>2129252</v>
      </c>
      <c r="J186">
        <v>2129252</v>
      </c>
      <c r="K186" t="s">
        <v>23</v>
      </c>
      <c r="L186">
        <v>-56.647737672688599</v>
      </c>
      <c r="M186" t="b">
        <v>1</v>
      </c>
      <c r="N186">
        <v>4</v>
      </c>
      <c r="O186">
        <v>190634414.125</v>
      </c>
      <c r="P186" t="s">
        <v>24</v>
      </c>
      <c r="Q186" t="s">
        <v>25</v>
      </c>
    </row>
    <row r="187" spans="1:17">
      <c r="A187">
        <v>2021</v>
      </c>
      <c r="B187">
        <v>2020</v>
      </c>
      <c r="C187" t="s">
        <v>17</v>
      </c>
      <c r="D187" t="s">
        <v>18</v>
      </c>
      <c r="E187" t="s">
        <v>85</v>
      </c>
      <c r="F187" s="3" t="s">
        <v>86</v>
      </c>
      <c r="G187" t="s">
        <v>40</v>
      </c>
      <c r="H187" t="s">
        <v>22</v>
      </c>
      <c r="I187" s="1">
        <v>703716490</v>
      </c>
      <c r="J187">
        <v>703716490</v>
      </c>
      <c r="K187" t="s">
        <v>26</v>
      </c>
      <c r="L187">
        <v>0</v>
      </c>
      <c r="M187" t="b">
        <v>1</v>
      </c>
      <c r="N187">
        <v>4</v>
      </c>
      <c r="O187">
        <v>703716490</v>
      </c>
      <c r="P187" t="s">
        <v>41</v>
      </c>
      <c r="Q187" t="s">
        <v>25</v>
      </c>
    </row>
    <row r="188" spans="1:17" ht="29">
      <c r="A188">
        <v>2020</v>
      </c>
      <c r="B188">
        <v>2020</v>
      </c>
      <c r="C188" t="s">
        <v>17</v>
      </c>
      <c r="D188" t="s">
        <v>18</v>
      </c>
      <c r="E188" t="s">
        <v>87</v>
      </c>
      <c r="F188" s="3" t="s">
        <v>88</v>
      </c>
      <c r="G188" t="s">
        <v>21</v>
      </c>
      <c r="H188" t="s">
        <v>31</v>
      </c>
      <c r="I188" s="1">
        <v>537035</v>
      </c>
      <c r="J188">
        <v>537035</v>
      </c>
      <c r="K188" t="s">
        <v>32</v>
      </c>
      <c r="L188">
        <v>-15.374251497005901</v>
      </c>
      <c r="M188" t="b">
        <v>1</v>
      </c>
      <c r="N188">
        <v>4</v>
      </c>
      <c r="O188">
        <v>588445.5</v>
      </c>
      <c r="P188" t="s">
        <v>36</v>
      </c>
      <c r="Q188" t="s">
        <v>25</v>
      </c>
    </row>
    <row r="189" spans="1:17">
      <c r="A189">
        <v>2021</v>
      </c>
      <c r="B189">
        <v>2020</v>
      </c>
      <c r="C189" t="s">
        <v>17</v>
      </c>
      <c r="D189" t="s">
        <v>18</v>
      </c>
      <c r="E189" t="s">
        <v>91</v>
      </c>
      <c r="F189" s="3" t="s">
        <v>92</v>
      </c>
      <c r="G189" t="s">
        <v>40</v>
      </c>
      <c r="H189" t="s">
        <v>22</v>
      </c>
      <c r="I189" s="1">
        <v>6450000</v>
      </c>
      <c r="J189">
        <v>6450000</v>
      </c>
      <c r="K189" t="s">
        <v>23</v>
      </c>
      <c r="L189">
        <v>-89.943559200473899</v>
      </c>
      <c r="M189" t="b">
        <v>1</v>
      </c>
      <c r="N189">
        <v>4</v>
      </c>
      <c r="O189">
        <v>74889250</v>
      </c>
      <c r="P189" t="s">
        <v>36</v>
      </c>
      <c r="Q189" t="s">
        <v>25</v>
      </c>
    </row>
    <row r="190" spans="1:17">
      <c r="A190">
        <v>2020</v>
      </c>
      <c r="B190">
        <v>2020</v>
      </c>
      <c r="C190" t="s">
        <v>17</v>
      </c>
      <c r="D190" t="s">
        <v>18</v>
      </c>
      <c r="E190" t="s">
        <v>71</v>
      </c>
      <c r="F190" s="3" t="s">
        <v>72</v>
      </c>
      <c r="G190" t="s">
        <v>21</v>
      </c>
      <c r="H190" t="s">
        <v>22</v>
      </c>
      <c r="I190" s="1">
        <v>30704000</v>
      </c>
      <c r="J190">
        <v>30704000</v>
      </c>
      <c r="K190" t="s">
        <v>23</v>
      </c>
      <c r="L190">
        <v>-79.309150710046396</v>
      </c>
      <c r="M190" t="b">
        <v>1</v>
      </c>
      <c r="N190">
        <v>4</v>
      </c>
      <c r="O190">
        <v>140908336.375</v>
      </c>
      <c r="P190" t="s">
        <v>24</v>
      </c>
      <c r="Q190" t="s">
        <v>25</v>
      </c>
    </row>
    <row r="191" spans="1:17" ht="29">
      <c r="A191">
        <v>2021</v>
      </c>
      <c r="B191">
        <v>2020</v>
      </c>
      <c r="C191" t="s">
        <v>17</v>
      </c>
      <c r="D191" t="s">
        <v>18</v>
      </c>
      <c r="E191" t="s">
        <v>96</v>
      </c>
      <c r="F191" s="3" t="s">
        <v>97</v>
      </c>
      <c r="G191" t="s">
        <v>30</v>
      </c>
      <c r="H191" t="s">
        <v>22</v>
      </c>
      <c r="I191" s="1">
        <v>703716490</v>
      </c>
      <c r="J191">
        <v>703716490</v>
      </c>
      <c r="K191" t="s">
        <v>26</v>
      </c>
      <c r="L191">
        <v>0</v>
      </c>
      <c r="M191" t="b">
        <v>1</v>
      </c>
      <c r="N191">
        <v>4</v>
      </c>
      <c r="O191">
        <v>703716490</v>
      </c>
      <c r="P191" t="s">
        <v>41</v>
      </c>
      <c r="Q191" t="s">
        <v>25</v>
      </c>
    </row>
    <row r="192" spans="1:17">
      <c r="A192">
        <v>2020</v>
      </c>
      <c r="B192">
        <v>2020</v>
      </c>
      <c r="C192" t="s">
        <v>17</v>
      </c>
      <c r="D192" t="s">
        <v>18</v>
      </c>
      <c r="E192" t="s">
        <v>28</v>
      </c>
      <c r="F192" s="3" t="s">
        <v>29</v>
      </c>
      <c r="G192" t="s">
        <v>30</v>
      </c>
      <c r="H192" t="s">
        <v>31</v>
      </c>
      <c r="I192" s="1">
        <v>62875</v>
      </c>
      <c r="J192">
        <v>62875</v>
      </c>
      <c r="K192" t="s">
        <v>32</v>
      </c>
      <c r="L192" s="2" t="s">
        <v>145</v>
      </c>
      <c r="M192" t="b">
        <v>1</v>
      </c>
      <c r="N192">
        <v>4</v>
      </c>
      <c r="O192" s="2" t="s">
        <v>33</v>
      </c>
      <c r="P192" t="s">
        <v>24</v>
      </c>
      <c r="Q192" t="s">
        <v>25</v>
      </c>
    </row>
    <row r="193" spans="1:17">
      <c r="A193">
        <v>2021</v>
      </c>
      <c r="B193">
        <v>2020</v>
      </c>
      <c r="C193" t="s">
        <v>17</v>
      </c>
      <c r="D193" t="s">
        <v>18</v>
      </c>
      <c r="E193" t="s">
        <v>105</v>
      </c>
      <c r="F193" s="3" t="s">
        <v>106</v>
      </c>
      <c r="G193" t="s">
        <v>107</v>
      </c>
      <c r="H193" t="s">
        <v>31</v>
      </c>
      <c r="I193" s="1">
        <v>1617969430</v>
      </c>
      <c r="J193">
        <v>1617969430</v>
      </c>
      <c r="K193" t="s">
        <v>26</v>
      </c>
      <c r="L193" s="2" t="s">
        <v>146</v>
      </c>
      <c r="M193" t="b">
        <v>1</v>
      </c>
      <c r="N193">
        <v>4</v>
      </c>
      <c r="O193">
        <v>1391639889.75</v>
      </c>
      <c r="P193" t="s">
        <v>24</v>
      </c>
      <c r="Q193" t="s">
        <v>25</v>
      </c>
    </row>
    <row r="194" spans="1:17" ht="29">
      <c r="A194">
        <v>2021</v>
      </c>
      <c r="B194">
        <v>2020</v>
      </c>
      <c r="C194" t="s">
        <v>17</v>
      </c>
      <c r="D194" t="s">
        <v>18</v>
      </c>
      <c r="E194" t="s">
        <v>19</v>
      </c>
      <c r="F194" s="3" t="s">
        <v>20</v>
      </c>
      <c r="G194" t="s">
        <v>21</v>
      </c>
      <c r="H194" t="s">
        <v>22</v>
      </c>
      <c r="I194" s="1">
        <v>29299108</v>
      </c>
      <c r="J194">
        <v>29299108</v>
      </c>
      <c r="K194" t="s">
        <v>23</v>
      </c>
      <c r="L194" s="2" t="s">
        <v>147</v>
      </c>
      <c r="M194" t="b">
        <v>1</v>
      </c>
      <c r="N194">
        <v>4</v>
      </c>
      <c r="O194">
        <v>99912404.875</v>
      </c>
      <c r="P194" t="s">
        <v>24</v>
      </c>
      <c r="Q194" t="s">
        <v>25</v>
      </c>
    </row>
    <row r="195" spans="1:17" ht="29">
      <c r="A195">
        <v>2021</v>
      </c>
      <c r="B195">
        <v>2020</v>
      </c>
      <c r="C195" t="s">
        <v>17</v>
      </c>
      <c r="D195" t="s">
        <v>18</v>
      </c>
      <c r="E195" t="s">
        <v>96</v>
      </c>
      <c r="F195" s="3" t="s">
        <v>97</v>
      </c>
      <c r="G195" t="s">
        <v>30</v>
      </c>
      <c r="H195" t="s">
        <v>22</v>
      </c>
      <c r="I195" s="1">
        <v>703716490</v>
      </c>
      <c r="J195">
        <v>703716490</v>
      </c>
      <c r="K195" t="s">
        <v>26</v>
      </c>
      <c r="L195">
        <v>0</v>
      </c>
      <c r="M195" t="b">
        <v>1</v>
      </c>
      <c r="N195">
        <v>4</v>
      </c>
      <c r="O195">
        <v>703716490</v>
      </c>
      <c r="P195" t="s">
        <v>41</v>
      </c>
      <c r="Q195" t="s">
        <v>25</v>
      </c>
    </row>
    <row r="196" spans="1:17">
      <c r="A196">
        <v>2021</v>
      </c>
      <c r="B196">
        <v>2020</v>
      </c>
      <c r="C196" t="s">
        <v>17</v>
      </c>
      <c r="D196" t="s">
        <v>18</v>
      </c>
      <c r="E196" t="s">
        <v>98</v>
      </c>
      <c r="F196" s="3" t="s">
        <v>99</v>
      </c>
      <c r="G196" t="s">
        <v>21</v>
      </c>
      <c r="H196" t="s">
        <v>22</v>
      </c>
      <c r="I196" s="1">
        <v>356945</v>
      </c>
      <c r="J196">
        <v>356945</v>
      </c>
      <c r="K196" t="s">
        <v>32</v>
      </c>
      <c r="L196">
        <v>-96.750048802303994</v>
      </c>
      <c r="M196" t="b">
        <v>1</v>
      </c>
      <c r="N196">
        <v>4</v>
      </c>
      <c r="O196">
        <v>16440389.375</v>
      </c>
      <c r="P196" t="s">
        <v>24</v>
      </c>
      <c r="Q196" t="s">
        <v>25</v>
      </c>
    </row>
    <row r="197" spans="1:17">
      <c r="A197">
        <v>2021</v>
      </c>
      <c r="B197">
        <v>2020</v>
      </c>
      <c r="C197" t="s">
        <v>17</v>
      </c>
      <c r="D197" t="s">
        <v>18</v>
      </c>
      <c r="E197" t="s">
        <v>101</v>
      </c>
      <c r="F197" s="3" t="s">
        <v>102</v>
      </c>
      <c r="G197" t="s">
        <v>40</v>
      </c>
      <c r="H197" t="s">
        <v>22</v>
      </c>
      <c r="I197" s="1">
        <v>3785303000</v>
      </c>
      <c r="J197">
        <v>3785303000</v>
      </c>
      <c r="K197" t="s">
        <v>26</v>
      </c>
      <c r="L197" s="2" t="s">
        <v>148</v>
      </c>
      <c r="M197" t="b">
        <v>1</v>
      </c>
      <c r="N197">
        <v>4</v>
      </c>
      <c r="O197">
        <v>4078783500</v>
      </c>
      <c r="P197" t="s">
        <v>24</v>
      </c>
      <c r="Q197" t="s">
        <v>25</v>
      </c>
    </row>
    <row r="198" spans="1:17" ht="29">
      <c r="A198">
        <v>2021</v>
      </c>
      <c r="B198">
        <v>2020</v>
      </c>
      <c r="C198" t="s">
        <v>17</v>
      </c>
      <c r="D198" t="s">
        <v>18</v>
      </c>
      <c r="E198" t="s">
        <v>96</v>
      </c>
      <c r="F198" s="3" t="s">
        <v>97</v>
      </c>
      <c r="G198" t="s">
        <v>30</v>
      </c>
      <c r="H198" t="s">
        <v>22</v>
      </c>
      <c r="I198" s="1">
        <v>703716490</v>
      </c>
      <c r="J198">
        <v>703716490</v>
      </c>
      <c r="K198" t="s">
        <v>26</v>
      </c>
      <c r="L198">
        <v>0</v>
      </c>
      <c r="M198" t="b">
        <v>1</v>
      </c>
      <c r="N198">
        <v>4</v>
      </c>
      <c r="O198">
        <v>703716490</v>
      </c>
      <c r="P198" t="s">
        <v>41</v>
      </c>
      <c r="Q198" t="s">
        <v>25</v>
      </c>
    </row>
    <row r="199" spans="1:17">
      <c r="A199">
        <v>2021</v>
      </c>
      <c r="B199">
        <v>2020</v>
      </c>
      <c r="C199" t="s">
        <v>17</v>
      </c>
      <c r="D199" t="s">
        <v>18</v>
      </c>
      <c r="E199" t="s">
        <v>56</v>
      </c>
      <c r="F199" s="3" t="s">
        <v>57</v>
      </c>
      <c r="G199" t="s">
        <v>21</v>
      </c>
      <c r="H199" t="s">
        <v>22</v>
      </c>
      <c r="I199" s="1">
        <v>20417350</v>
      </c>
      <c r="J199">
        <v>20417350</v>
      </c>
      <c r="K199" t="s">
        <v>23</v>
      </c>
      <c r="L199" s="2" t="s">
        <v>149</v>
      </c>
      <c r="M199" t="b">
        <v>1</v>
      </c>
      <c r="N199">
        <v>4</v>
      </c>
      <c r="O199">
        <v>190634414.125</v>
      </c>
      <c r="P199" t="s">
        <v>24</v>
      </c>
      <c r="Q199" t="s">
        <v>25</v>
      </c>
    </row>
    <row r="200" spans="1:17">
      <c r="A200">
        <v>2021</v>
      </c>
      <c r="B200">
        <v>2020</v>
      </c>
      <c r="C200" t="s">
        <v>17</v>
      </c>
      <c r="D200" t="s">
        <v>18</v>
      </c>
      <c r="E200" t="s">
        <v>105</v>
      </c>
      <c r="F200" s="3" t="s">
        <v>106</v>
      </c>
      <c r="G200" t="s">
        <v>107</v>
      </c>
      <c r="H200" t="s">
        <v>31</v>
      </c>
      <c r="I200" s="1">
        <v>1075093066</v>
      </c>
      <c r="J200">
        <v>1075093066</v>
      </c>
      <c r="K200" t="s">
        <v>26</v>
      </c>
      <c r="L200">
        <v>-33.552943209810799</v>
      </c>
      <c r="M200" t="b">
        <v>1</v>
      </c>
      <c r="N200">
        <v>4</v>
      </c>
      <c r="O200">
        <v>1391639889.75</v>
      </c>
      <c r="P200" t="s">
        <v>24</v>
      </c>
      <c r="Q200" t="s">
        <v>25</v>
      </c>
    </row>
    <row r="201" spans="1:17">
      <c r="A201">
        <v>2021</v>
      </c>
      <c r="B201">
        <v>2020</v>
      </c>
      <c r="C201" t="s">
        <v>17</v>
      </c>
      <c r="D201" t="s">
        <v>18</v>
      </c>
      <c r="E201" t="s">
        <v>56</v>
      </c>
      <c r="F201" s="3" t="s">
        <v>57</v>
      </c>
      <c r="G201" t="s">
        <v>21</v>
      </c>
      <c r="H201" t="s">
        <v>22</v>
      </c>
      <c r="I201" s="1">
        <v>2251683</v>
      </c>
      <c r="J201">
        <v>2251683</v>
      </c>
      <c r="K201" t="s">
        <v>23</v>
      </c>
      <c r="L201">
        <v>-88.971717681285696</v>
      </c>
      <c r="M201" t="b">
        <v>1</v>
      </c>
      <c r="N201">
        <v>4</v>
      </c>
      <c r="O201">
        <v>190634414.125</v>
      </c>
      <c r="P201" t="s">
        <v>24</v>
      </c>
      <c r="Q201" t="s">
        <v>25</v>
      </c>
    </row>
    <row r="202" spans="1:17" ht="29">
      <c r="A202">
        <v>2021</v>
      </c>
      <c r="B202">
        <v>2020</v>
      </c>
      <c r="C202" t="s">
        <v>17</v>
      </c>
      <c r="D202" t="s">
        <v>18</v>
      </c>
      <c r="E202" t="s">
        <v>51</v>
      </c>
      <c r="F202" s="3" t="s">
        <v>52</v>
      </c>
      <c r="G202" t="s">
        <v>30</v>
      </c>
      <c r="H202" t="s">
        <v>22</v>
      </c>
      <c r="I202" s="1">
        <v>703716490</v>
      </c>
      <c r="J202">
        <v>703716490</v>
      </c>
      <c r="K202" t="s">
        <v>26</v>
      </c>
      <c r="L202">
        <v>0</v>
      </c>
      <c r="M202" t="b">
        <v>1</v>
      </c>
      <c r="N202">
        <v>4</v>
      </c>
      <c r="O202">
        <v>703716490</v>
      </c>
      <c r="P202" t="s">
        <v>41</v>
      </c>
      <c r="Q202" t="s">
        <v>25</v>
      </c>
    </row>
    <row r="203" spans="1:17">
      <c r="A203">
        <v>2021</v>
      </c>
      <c r="B203">
        <v>2020</v>
      </c>
      <c r="C203" t="s">
        <v>17</v>
      </c>
      <c r="D203" t="s">
        <v>18</v>
      </c>
      <c r="E203" t="s">
        <v>78</v>
      </c>
      <c r="F203" s="3" t="s">
        <v>79</v>
      </c>
      <c r="G203" t="s">
        <v>61</v>
      </c>
      <c r="H203" t="s">
        <v>31</v>
      </c>
      <c r="I203" s="1">
        <v>693732501</v>
      </c>
      <c r="J203">
        <v>693732501</v>
      </c>
      <c r="K203" t="s">
        <v>26</v>
      </c>
      <c r="L203">
        <v>-13.957526272555301</v>
      </c>
      <c r="M203" t="b">
        <v>1</v>
      </c>
      <c r="N203">
        <v>4</v>
      </c>
      <c r="O203">
        <v>738429122.5</v>
      </c>
      <c r="P203" t="s">
        <v>36</v>
      </c>
      <c r="Q203" t="s">
        <v>25</v>
      </c>
    </row>
    <row r="204" spans="1:17">
      <c r="A204">
        <v>2021</v>
      </c>
      <c r="B204">
        <v>2020</v>
      </c>
      <c r="C204" t="s">
        <v>17</v>
      </c>
      <c r="D204" t="s">
        <v>18</v>
      </c>
      <c r="E204" t="s">
        <v>28</v>
      </c>
      <c r="F204" s="3" t="s">
        <v>29</v>
      </c>
      <c r="G204" t="s">
        <v>30</v>
      </c>
      <c r="H204" t="s">
        <v>31</v>
      </c>
      <c r="I204" s="1">
        <v>5643</v>
      </c>
      <c r="J204">
        <v>5643</v>
      </c>
      <c r="K204" t="s">
        <v>32</v>
      </c>
      <c r="L204">
        <v>-91.0250497017892</v>
      </c>
      <c r="M204" t="b">
        <v>1</v>
      </c>
      <c r="N204">
        <v>4</v>
      </c>
      <c r="O204" s="2" t="s">
        <v>33</v>
      </c>
      <c r="P204" t="s">
        <v>24</v>
      </c>
      <c r="Q204" t="s">
        <v>25</v>
      </c>
    </row>
    <row r="205" spans="1:17" ht="29">
      <c r="A205">
        <v>2021</v>
      </c>
      <c r="B205">
        <v>2020</v>
      </c>
      <c r="C205" t="s">
        <v>17</v>
      </c>
      <c r="D205" t="s">
        <v>18</v>
      </c>
      <c r="E205" t="s">
        <v>114</v>
      </c>
      <c r="F205" s="3" t="s">
        <v>115</v>
      </c>
      <c r="G205" t="s">
        <v>21</v>
      </c>
      <c r="H205" t="s">
        <v>22</v>
      </c>
      <c r="I205" s="1">
        <v>454438</v>
      </c>
      <c r="J205">
        <v>454438</v>
      </c>
      <c r="K205" t="s">
        <v>32</v>
      </c>
      <c r="L205" s="2" t="s">
        <v>150</v>
      </c>
      <c r="M205" t="b">
        <v>1</v>
      </c>
      <c r="N205">
        <v>4</v>
      </c>
      <c r="O205">
        <v>351976579.75</v>
      </c>
      <c r="P205" t="s">
        <v>24</v>
      </c>
      <c r="Q205" t="s">
        <v>25</v>
      </c>
    </row>
    <row r="206" spans="1:17">
      <c r="A206">
        <v>2020</v>
      </c>
      <c r="B206">
        <v>2020</v>
      </c>
      <c r="C206" t="s">
        <v>17</v>
      </c>
      <c r="D206" t="s">
        <v>18</v>
      </c>
      <c r="E206" t="s">
        <v>34</v>
      </c>
      <c r="F206" s="3" t="s">
        <v>35</v>
      </c>
      <c r="G206" t="s">
        <v>21</v>
      </c>
      <c r="H206" t="s">
        <v>22</v>
      </c>
      <c r="I206" s="1">
        <v>96962</v>
      </c>
      <c r="J206">
        <v>96962</v>
      </c>
      <c r="K206" t="s">
        <v>32</v>
      </c>
      <c r="L206">
        <v>-44.444253456406003</v>
      </c>
      <c r="M206" t="b">
        <v>1</v>
      </c>
      <c r="N206">
        <v>4</v>
      </c>
      <c r="O206">
        <v>153547.625</v>
      </c>
      <c r="P206" t="s">
        <v>36</v>
      </c>
      <c r="Q206" t="s">
        <v>25</v>
      </c>
    </row>
    <row r="207" spans="1:17" ht="29">
      <c r="A207">
        <v>2021</v>
      </c>
      <c r="B207">
        <v>2020</v>
      </c>
      <c r="C207" t="s">
        <v>17</v>
      </c>
      <c r="D207" t="s">
        <v>18</v>
      </c>
      <c r="E207" t="s">
        <v>117</v>
      </c>
      <c r="F207" s="3" t="s">
        <v>118</v>
      </c>
      <c r="G207" t="s">
        <v>40</v>
      </c>
      <c r="H207" t="s">
        <v>22</v>
      </c>
      <c r="I207" s="1">
        <v>53033000</v>
      </c>
      <c r="J207">
        <v>53033000</v>
      </c>
      <c r="K207" t="s">
        <v>23</v>
      </c>
      <c r="L207">
        <v>-69.102010615303001</v>
      </c>
      <c r="M207" t="b">
        <v>1</v>
      </c>
      <c r="N207">
        <v>4</v>
      </c>
      <c r="O207">
        <v>156832250</v>
      </c>
      <c r="P207" t="s">
        <v>36</v>
      </c>
      <c r="Q207" t="s">
        <v>25</v>
      </c>
    </row>
    <row r="208" spans="1:17">
      <c r="A208">
        <v>2023</v>
      </c>
      <c r="B208">
        <v>2020</v>
      </c>
      <c r="C208" t="s">
        <v>17</v>
      </c>
      <c r="D208" t="s">
        <v>18</v>
      </c>
      <c r="E208" t="s">
        <v>56</v>
      </c>
      <c r="F208" s="3" t="s">
        <v>57</v>
      </c>
      <c r="G208" t="s">
        <v>21</v>
      </c>
      <c r="H208" t="s">
        <v>22</v>
      </c>
      <c r="I208" s="1">
        <v>703716490</v>
      </c>
      <c r="J208">
        <v>703716490</v>
      </c>
      <c r="K208" t="s">
        <v>26</v>
      </c>
      <c r="L208" s="2" t="s">
        <v>151</v>
      </c>
      <c r="M208" t="b">
        <v>1</v>
      </c>
      <c r="N208">
        <v>4</v>
      </c>
      <c r="O208">
        <v>190634414.125</v>
      </c>
      <c r="P208" t="s">
        <v>24</v>
      </c>
      <c r="Q208" t="s">
        <v>25</v>
      </c>
    </row>
    <row r="209" spans="1:17">
      <c r="A209">
        <v>2021</v>
      </c>
      <c r="B209">
        <v>2020</v>
      </c>
      <c r="C209" t="s">
        <v>17</v>
      </c>
      <c r="D209" t="s">
        <v>18</v>
      </c>
      <c r="E209" t="s">
        <v>122</v>
      </c>
      <c r="F209" s="3" t="s">
        <v>123</v>
      </c>
      <c r="G209" t="s">
        <v>40</v>
      </c>
      <c r="H209" t="s">
        <v>22</v>
      </c>
      <c r="I209" s="1">
        <v>353431000</v>
      </c>
      <c r="J209">
        <v>353431000</v>
      </c>
      <c r="K209" t="s">
        <v>26</v>
      </c>
      <c r="L209">
        <v>-50.975344175885098</v>
      </c>
      <c r="M209" t="b">
        <v>1</v>
      </c>
      <c r="N209">
        <v>4</v>
      </c>
      <c r="O209">
        <v>614407000</v>
      </c>
      <c r="P209" t="s">
        <v>24</v>
      </c>
      <c r="Q209" t="s">
        <v>25</v>
      </c>
    </row>
    <row r="210" spans="1:17">
      <c r="A210">
        <v>2021</v>
      </c>
      <c r="B210">
        <v>2020</v>
      </c>
      <c r="C210" t="s">
        <v>17</v>
      </c>
      <c r="D210" t="s">
        <v>18</v>
      </c>
      <c r="E210" t="s">
        <v>82</v>
      </c>
      <c r="F210" s="3" t="s">
        <v>83</v>
      </c>
      <c r="G210" t="s">
        <v>21</v>
      </c>
      <c r="H210" t="s">
        <v>22</v>
      </c>
      <c r="I210" s="1">
        <v>1794750</v>
      </c>
      <c r="J210">
        <v>1794750</v>
      </c>
      <c r="K210" t="s">
        <v>23</v>
      </c>
      <c r="L210" s="2" t="s">
        <v>152</v>
      </c>
      <c r="M210" t="b">
        <v>1</v>
      </c>
      <c r="N210">
        <v>4</v>
      </c>
      <c r="O210">
        <v>2167758.375</v>
      </c>
      <c r="P210" t="s">
        <v>24</v>
      </c>
      <c r="Q210" t="s">
        <v>25</v>
      </c>
    </row>
    <row r="211" spans="1:17">
      <c r="A211">
        <v>2021</v>
      </c>
      <c r="B211">
        <v>2020</v>
      </c>
      <c r="C211" t="s">
        <v>17</v>
      </c>
      <c r="D211" t="s">
        <v>18</v>
      </c>
      <c r="E211" t="s">
        <v>38</v>
      </c>
      <c r="F211" s="3" t="s">
        <v>39</v>
      </c>
      <c r="G211" t="s">
        <v>40</v>
      </c>
      <c r="H211" t="s">
        <v>22</v>
      </c>
      <c r="I211" s="1">
        <v>703716490</v>
      </c>
      <c r="J211">
        <v>703716490</v>
      </c>
      <c r="K211" t="s">
        <v>26</v>
      </c>
      <c r="L211">
        <v>0</v>
      </c>
      <c r="M211" t="b">
        <v>1</v>
      </c>
      <c r="N211">
        <v>4</v>
      </c>
      <c r="O211">
        <v>703716490</v>
      </c>
      <c r="P211" t="s">
        <v>41</v>
      </c>
      <c r="Q211" t="s">
        <v>25</v>
      </c>
    </row>
    <row r="212" spans="1:17" ht="29">
      <c r="A212">
        <v>2021</v>
      </c>
      <c r="B212">
        <v>2020</v>
      </c>
      <c r="C212" t="s">
        <v>17</v>
      </c>
      <c r="D212" t="s">
        <v>18</v>
      </c>
      <c r="E212" t="s">
        <v>47</v>
      </c>
      <c r="F212" s="3" t="s">
        <v>48</v>
      </c>
      <c r="G212" t="s">
        <v>40</v>
      </c>
      <c r="H212" t="s">
        <v>22</v>
      </c>
      <c r="I212" s="1">
        <v>4673535620</v>
      </c>
      <c r="J212">
        <v>4673535620</v>
      </c>
      <c r="K212" t="s">
        <v>26</v>
      </c>
      <c r="L212" s="2" t="s">
        <v>153</v>
      </c>
      <c r="M212" t="b">
        <v>1</v>
      </c>
      <c r="N212">
        <v>4</v>
      </c>
      <c r="O212">
        <v>2578410250</v>
      </c>
      <c r="P212" t="s">
        <v>24</v>
      </c>
      <c r="Q212" t="s">
        <v>25</v>
      </c>
    </row>
    <row r="213" spans="1:17" ht="29">
      <c r="A213">
        <v>2021</v>
      </c>
      <c r="B213">
        <v>2020</v>
      </c>
      <c r="C213" t="s">
        <v>17</v>
      </c>
      <c r="D213" t="s">
        <v>18</v>
      </c>
      <c r="E213" t="s">
        <v>19</v>
      </c>
      <c r="F213" s="3" t="s">
        <v>20</v>
      </c>
      <c r="G213" t="s">
        <v>21</v>
      </c>
      <c r="H213" t="s">
        <v>22</v>
      </c>
      <c r="I213" s="1">
        <v>11427263</v>
      </c>
      <c r="J213">
        <v>11427263</v>
      </c>
      <c r="K213" t="s">
        <v>23</v>
      </c>
      <c r="L213">
        <v>-60.997915021849799</v>
      </c>
      <c r="M213" t="b">
        <v>1</v>
      </c>
      <c r="N213">
        <v>4</v>
      </c>
      <c r="O213">
        <v>99912404.875</v>
      </c>
      <c r="P213" t="s">
        <v>24</v>
      </c>
      <c r="Q213" t="s">
        <v>25</v>
      </c>
    </row>
    <row r="214" spans="1:17">
      <c r="A214">
        <v>2021</v>
      </c>
      <c r="B214">
        <v>2020</v>
      </c>
      <c r="C214" t="s">
        <v>17</v>
      </c>
      <c r="D214" t="s">
        <v>18</v>
      </c>
      <c r="E214" t="s">
        <v>67</v>
      </c>
      <c r="F214" s="3" t="s">
        <v>68</v>
      </c>
      <c r="G214" t="s">
        <v>61</v>
      </c>
      <c r="H214" t="s">
        <v>31</v>
      </c>
      <c r="I214" s="1">
        <v>703716490</v>
      </c>
      <c r="J214">
        <v>703716490</v>
      </c>
      <c r="K214" t="s">
        <v>26</v>
      </c>
      <c r="L214">
        <v>0</v>
      </c>
      <c r="M214" t="b">
        <v>1</v>
      </c>
      <c r="N214">
        <v>4</v>
      </c>
      <c r="O214">
        <v>703716490</v>
      </c>
      <c r="P214" t="s">
        <v>41</v>
      </c>
      <c r="Q214" t="s">
        <v>25</v>
      </c>
    </row>
    <row r="215" spans="1:17">
      <c r="A215">
        <v>2021</v>
      </c>
      <c r="B215">
        <v>2020</v>
      </c>
      <c r="C215" t="s">
        <v>17</v>
      </c>
      <c r="D215" t="s">
        <v>18</v>
      </c>
      <c r="E215" t="s">
        <v>98</v>
      </c>
      <c r="F215" s="3" t="s">
        <v>99</v>
      </c>
      <c r="G215" t="s">
        <v>21</v>
      </c>
      <c r="H215" t="s">
        <v>22</v>
      </c>
      <c r="I215" s="1">
        <v>17126873</v>
      </c>
      <c r="J215">
        <v>17126873</v>
      </c>
      <c r="K215" t="s">
        <v>23</v>
      </c>
      <c r="L215" s="2" t="s">
        <v>154</v>
      </c>
      <c r="M215" t="b">
        <v>1</v>
      </c>
      <c r="N215">
        <v>4</v>
      </c>
      <c r="O215">
        <v>16440389.375</v>
      </c>
      <c r="P215" t="s">
        <v>24</v>
      </c>
      <c r="Q215" t="s">
        <v>25</v>
      </c>
    </row>
    <row r="216" spans="1:17">
      <c r="A216">
        <v>2021</v>
      </c>
      <c r="B216">
        <v>2020</v>
      </c>
      <c r="C216" t="s">
        <v>17</v>
      </c>
      <c r="D216" t="s">
        <v>18</v>
      </c>
      <c r="E216" t="s">
        <v>38</v>
      </c>
      <c r="F216" s="3" t="s">
        <v>39</v>
      </c>
      <c r="G216" t="s">
        <v>40</v>
      </c>
      <c r="H216" t="s">
        <v>22</v>
      </c>
      <c r="I216" s="1">
        <v>703716490</v>
      </c>
      <c r="J216">
        <v>703716490</v>
      </c>
      <c r="K216" t="s">
        <v>26</v>
      </c>
      <c r="L216">
        <v>0</v>
      </c>
      <c r="M216" t="b">
        <v>1</v>
      </c>
      <c r="N216">
        <v>4</v>
      </c>
      <c r="O216">
        <v>703716490</v>
      </c>
      <c r="P216" t="s">
        <v>41</v>
      </c>
      <c r="Q216" t="s">
        <v>25</v>
      </c>
    </row>
    <row r="217" spans="1:17">
      <c r="A217">
        <v>2021</v>
      </c>
      <c r="B217">
        <v>2020</v>
      </c>
      <c r="C217" t="s">
        <v>17</v>
      </c>
      <c r="D217" t="s">
        <v>18</v>
      </c>
      <c r="E217" t="s">
        <v>67</v>
      </c>
      <c r="F217" s="3" t="s">
        <v>68</v>
      </c>
      <c r="G217" t="s">
        <v>61</v>
      </c>
      <c r="H217" t="s">
        <v>31</v>
      </c>
      <c r="I217" s="1">
        <v>703716490</v>
      </c>
      <c r="J217">
        <v>703716490</v>
      </c>
      <c r="K217" t="s">
        <v>26</v>
      </c>
      <c r="L217">
        <v>0</v>
      </c>
      <c r="M217" t="b">
        <v>1</v>
      </c>
      <c r="N217">
        <v>4</v>
      </c>
      <c r="O217">
        <v>703716490</v>
      </c>
      <c r="P217" t="s">
        <v>41</v>
      </c>
      <c r="Q217" t="s">
        <v>25</v>
      </c>
    </row>
    <row r="218" spans="1:17" ht="29">
      <c r="A218">
        <v>2021</v>
      </c>
      <c r="B218">
        <v>2020</v>
      </c>
      <c r="C218" t="s">
        <v>17</v>
      </c>
      <c r="D218" t="s">
        <v>18</v>
      </c>
      <c r="E218" t="s">
        <v>114</v>
      </c>
      <c r="F218" s="3" t="s">
        <v>115</v>
      </c>
      <c r="G218" t="s">
        <v>21</v>
      </c>
      <c r="H218" t="s">
        <v>22</v>
      </c>
      <c r="I218" s="1">
        <v>177240</v>
      </c>
      <c r="J218">
        <v>177240</v>
      </c>
      <c r="K218" t="s">
        <v>32</v>
      </c>
      <c r="L218">
        <v>-60.997979922453602</v>
      </c>
      <c r="M218" t="b">
        <v>1</v>
      </c>
      <c r="N218">
        <v>4</v>
      </c>
      <c r="O218">
        <v>351976579.75</v>
      </c>
      <c r="P218" t="s">
        <v>24</v>
      </c>
      <c r="Q218" t="s">
        <v>25</v>
      </c>
    </row>
    <row r="219" spans="1:17">
      <c r="A219">
        <v>2021</v>
      </c>
      <c r="B219">
        <v>2020</v>
      </c>
      <c r="C219" t="s">
        <v>17</v>
      </c>
      <c r="D219" t="s">
        <v>18</v>
      </c>
      <c r="E219" t="s">
        <v>65</v>
      </c>
      <c r="F219" s="3" t="s">
        <v>66</v>
      </c>
      <c r="G219" t="s">
        <v>30</v>
      </c>
      <c r="H219" t="s">
        <v>22</v>
      </c>
      <c r="I219" s="1">
        <v>1202636214</v>
      </c>
      <c r="J219">
        <v>1202636214</v>
      </c>
      <c r="K219" t="s">
        <v>26</v>
      </c>
      <c r="L219" s="2" t="s">
        <v>155</v>
      </c>
      <c r="M219" t="b">
        <v>1</v>
      </c>
      <c r="N219">
        <v>4</v>
      </c>
      <c r="O219">
        <v>2742906750</v>
      </c>
      <c r="P219" t="s">
        <v>24</v>
      </c>
      <c r="Q219" t="s">
        <v>25</v>
      </c>
    </row>
    <row r="220" spans="1:17">
      <c r="A220">
        <v>2021</v>
      </c>
      <c r="B220">
        <v>2020</v>
      </c>
      <c r="C220" t="s">
        <v>17</v>
      </c>
      <c r="D220" t="s">
        <v>18</v>
      </c>
      <c r="E220" t="s">
        <v>28</v>
      </c>
      <c r="F220" s="3" t="s">
        <v>29</v>
      </c>
      <c r="G220" t="s">
        <v>30</v>
      </c>
      <c r="H220" t="s">
        <v>31</v>
      </c>
      <c r="I220" s="1">
        <v>61129</v>
      </c>
      <c r="J220">
        <v>61129</v>
      </c>
      <c r="K220" t="s">
        <v>32</v>
      </c>
      <c r="L220" s="2" t="s">
        <v>156</v>
      </c>
      <c r="M220" t="b">
        <v>1</v>
      </c>
      <c r="N220">
        <v>4</v>
      </c>
      <c r="O220" s="2" t="s">
        <v>33</v>
      </c>
      <c r="P220" t="s">
        <v>24</v>
      </c>
      <c r="Q220" t="s">
        <v>25</v>
      </c>
    </row>
    <row r="221" spans="1:17">
      <c r="A221">
        <v>2022</v>
      </c>
      <c r="B221">
        <v>2020</v>
      </c>
      <c r="C221" t="s">
        <v>17</v>
      </c>
      <c r="D221" t="s">
        <v>18</v>
      </c>
      <c r="E221" t="s">
        <v>28</v>
      </c>
      <c r="F221" s="3" t="s">
        <v>29</v>
      </c>
      <c r="G221" t="s">
        <v>30</v>
      </c>
      <c r="H221" t="s">
        <v>31</v>
      </c>
      <c r="I221" s="1">
        <v>72664</v>
      </c>
      <c r="J221">
        <v>72664</v>
      </c>
      <c r="K221" t="s">
        <v>32</v>
      </c>
      <c r="L221" s="2" t="s">
        <v>157</v>
      </c>
      <c r="M221" t="b">
        <v>1</v>
      </c>
      <c r="N221">
        <v>4</v>
      </c>
      <c r="O221" s="2" t="s">
        <v>33</v>
      </c>
      <c r="P221" t="s">
        <v>24</v>
      </c>
      <c r="Q221" t="s">
        <v>25</v>
      </c>
    </row>
    <row r="222" spans="1:17">
      <c r="A222">
        <v>2023</v>
      </c>
      <c r="B222">
        <v>2020</v>
      </c>
      <c r="C222" t="s">
        <v>17</v>
      </c>
      <c r="D222" t="s">
        <v>18</v>
      </c>
      <c r="E222" t="s">
        <v>28</v>
      </c>
      <c r="F222" s="3" t="s">
        <v>29</v>
      </c>
      <c r="G222" t="s">
        <v>30</v>
      </c>
      <c r="H222" t="s">
        <v>31</v>
      </c>
      <c r="I222" s="1">
        <v>76090</v>
      </c>
      <c r="J222">
        <v>76090</v>
      </c>
      <c r="K222" t="s">
        <v>32</v>
      </c>
      <c r="L222" s="2" t="s">
        <v>158</v>
      </c>
      <c r="M222" t="b">
        <v>1</v>
      </c>
      <c r="N222">
        <v>4</v>
      </c>
      <c r="O222" s="2" t="s">
        <v>33</v>
      </c>
      <c r="P222" t="s">
        <v>24</v>
      </c>
      <c r="Q222" t="s">
        <v>25</v>
      </c>
    </row>
    <row r="223" spans="1:17">
      <c r="A223">
        <v>2022</v>
      </c>
      <c r="B223">
        <v>2020</v>
      </c>
      <c r="C223" t="s">
        <v>17</v>
      </c>
      <c r="D223" t="s">
        <v>18</v>
      </c>
      <c r="E223" t="s">
        <v>105</v>
      </c>
      <c r="F223" s="3" t="s">
        <v>106</v>
      </c>
      <c r="G223" t="s">
        <v>107</v>
      </c>
      <c r="H223" t="s">
        <v>31</v>
      </c>
      <c r="I223" s="1">
        <v>708695719</v>
      </c>
      <c r="J223">
        <v>708695719</v>
      </c>
      <c r="K223" t="s">
        <v>26</v>
      </c>
      <c r="L223">
        <v>-34.080523685565197</v>
      </c>
      <c r="M223" t="b">
        <v>1</v>
      </c>
      <c r="N223">
        <v>4</v>
      </c>
      <c r="O223">
        <v>1391639889.75</v>
      </c>
      <c r="P223" t="s">
        <v>24</v>
      </c>
      <c r="Q223" t="s">
        <v>25</v>
      </c>
    </row>
    <row r="224" spans="1:17">
      <c r="A224">
        <v>2023</v>
      </c>
      <c r="B224">
        <v>2020</v>
      </c>
      <c r="C224" t="s">
        <v>17</v>
      </c>
      <c r="D224" t="s">
        <v>18</v>
      </c>
      <c r="E224" t="s">
        <v>105</v>
      </c>
      <c r="F224" s="3" t="s">
        <v>106</v>
      </c>
      <c r="G224" t="s">
        <v>107</v>
      </c>
      <c r="H224" t="s">
        <v>31</v>
      </c>
      <c r="I224" s="1">
        <v>1176373280</v>
      </c>
      <c r="J224">
        <v>1176373280</v>
      </c>
      <c r="K224" t="s">
        <v>26</v>
      </c>
      <c r="L224" s="2" t="s">
        <v>159</v>
      </c>
      <c r="M224" t="b">
        <v>1</v>
      </c>
      <c r="N224">
        <v>4</v>
      </c>
      <c r="O224">
        <v>1391639889.75</v>
      </c>
      <c r="P224" t="s">
        <v>24</v>
      </c>
      <c r="Q224" t="s">
        <v>25</v>
      </c>
    </row>
    <row r="225" spans="1:17">
      <c r="A225">
        <v>2020</v>
      </c>
      <c r="B225">
        <v>2020</v>
      </c>
      <c r="C225" t="s">
        <v>17</v>
      </c>
      <c r="D225" t="s">
        <v>18</v>
      </c>
      <c r="E225" t="s">
        <v>105</v>
      </c>
      <c r="F225" s="3" t="s">
        <v>106</v>
      </c>
      <c r="G225" t="s">
        <v>107</v>
      </c>
      <c r="H225" t="s">
        <v>31</v>
      </c>
      <c r="I225" s="1">
        <v>1228126477</v>
      </c>
      <c r="J225">
        <v>1228126477</v>
      </c>
      <c r="K225" t="s">
        <v>26</v>
      </c>
      <c r="L225" s="2" t="s">
        <v>160</v>
      </c>
      <c r="M225" t="b">
        <v>1</v>
      </c>
      <c r="N225">
        <v>4</v>
      </c>
      <c r="O225">
        <v>1391639889.75</v>
      </c>
      <c r="P225" t="s">
        <v>24</v>
      </c>
      <c r="Q225"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B32B-933E-4134-8527-1347645CD1FD}">
  <dimension ref="A1:T225"/>
  <sheetViews>
    <sheetView workbookViewId="0">
      <selection sqref="A1:XFD1048576"/>
    </sheetView>
  </sheetViews>
  <sheetFormatPr defaultRowHeight="14.5"/>
  <cols>
    <col min="1" max="1" width="7.26953125" bestFit="1" customWidth="1"/>
    <col min="2" max="2" width="9.81640625" bestFit="1" customWidth="1"/>
    <col min="3" max="3" width="28" bestFit="1" customWidth="1"/>
    <col min="4" max="4" width="12.54296875" bestFit="1" customWidth="1"/>
    <col min="5" max="5" width="18.81640625" bestFit="1" customWidth="1"/>
    <col min="6" max="6" width="69.7265625" bestFit="1" customWidth="1"/>
    <col min="7" max="7" width="25.7265625" bestFit="1" customWidth="1"/>
    <col min="8" max="8" width="18.54296875" bestFit="1" customWidth="1"/>
    <col min="9" max="9" width="20.54296875" bestFit="1" customWidth="1"/>
    <col min="10" max="10" width="29.453125" bestFit="1" customWidth="1"/>
    <col min="11" max="11" width="19.1796875" bestFit="1" customWidth="1"/>
    <col min="12" max="12" width="18.81640625" bestFit="1" customWidth="1"/>
    <col min="13" max="13" width="14.1796875" bestFit="1" customWidth="1"/>
    <col min="14" max="14" width="25.26953125" bestFit="1" customWidth="1"/>
    <col min="15" max="15" width="26.1796875" customWidth="1"/>
    <col min="16" max="16" width="10.7265625" bestFit="1" customWidth="1"/>
    <col min="17" max="17" width="20.81640625" bestFit="1" customWidth="1"/>
    <col min="18" max="18" width="20.54296875" bestFit="1" customWidth="1"/>
    <col min="19" max="19" width="21.7265625" bestFit="1" customWidth="1"/>
    <col min="20" max="20" width="19.453125" bestFit="1" customWidth="1"/>
  </cols>
  <sheetData>
    <row r="1" spans="1:20">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161</v>
      </c>
      <c r="S1" s="21" t="s">
        <v>162</v>
      </c>
      <c r="T1" s="21" t="s">
        <v>163</v>
      </c>
    </row>
    <row r="2" spans="1:20" ht="29">
      <c r="A2" s="21">
        <v>2022</v>
      </c>
      <c r="B2" s="21">
        <v>2020</v>
      </c>
      <c r="C2" s="21" t="s">
        <v>17</v>
      </c>
      <c r="D2" s="21" t="s">
        <v>18</v>
      </c>
      <c r="E2" s="21" t="s">
        <v>19</v>
      </c>
      <c r="F2" s="3" t="s">
        <v>20</v>
      </c>
      <c r="G2" s="21" t="s">
        <v>21</v>
      </c>
      <c r="H2" s="21" t="s">
        <v>22</v>
      </c>
      <c r="I2" s="22">
        <v>18739507</v>
      </c>
      <c r="J2" s="21">
        <v>18739507</v>
      </c>
      <c r="K2" s="21" t="s">
        <v>23</v>
      </c>
      <c r="L2" s="21"/>
      <c r="M2" s="21" t="b">
        <v>1</v>
      </c>
      <c r="N2" s="21">
        <v>4</v>
      </c>
      <c r="O2" s="27">
        <v>99912404.875</v>
      </c>
      <c r="P2" s="21" t="s">
        <v>24</v>
      </c>
      <c r="Q2" s="21" t="s">
        <v>25</v>
      </c>
      <c r="R2" s="23">
        <v>18739507</v>
      </c>
      <c r="S2" s="23" t="e" cm="1">
        <f t="array" aca="1" ref="S2" ca="1">Table1[[#This Row],[Nominal TRY]]*_xlfn.XLOOKUP(Table1[[#This Row],[Year]],Table2[[#All],[Year]],Table2[[#All],[Deflator to 2023]])</f>
        <v>#NAME?</v>
      </c>
      <c r="T2" s="24" t="e" cm="1">
        <f t="array" aca="1" ref="T2" ca="1">Table1[[#This Row],[Nominal TRY]]/_xlfn.XLOOKUP(Table1[[#This Row],[Year]],Table3[[#All],[Year]],Table3[[#All],[Rate]])</f>
        <v>#NAME?</v>
      </c>
    </row>
    <row r="3" spans="1:20" ht="29">
      <c r="A3" s="21">
        <v>2023</v>
      </c>
      <c r="B3" s="21">
        <v>2020</v>
      </c>
      <c r="C3" s="21" t="s">
        <v>17</v>
      </c>
      <c r="D3" s="21" t="s">
        <v>18</v>
      </c>
      <c r="E3" s="21" t="s">
        <v>19</v>
      </c>
      <c r="F3" s="3" t="s">
        <v>20</v>
      </c>
      <c r="G3" s="21" t="s">
        <v>21</v>
      </c>
      <c r="H3" s="21" t="s">
        <v>22</v>
      </c>
      <c r="I3" s="22">
        <v>703716490</v>
      </c>
      <c r="J3" s="21">
        <v>703716490</v>
      </c>
      <c r="K3" s="21" t="s">
        <v>26</v>
      </c>
      <c r="L3" s="25">
        <v>3655.25615481773</v>
      </c>
      <c r="M3" s="21" t="b">
        <v>1</v>
      </c>
      <c r="N3" s="21">
        <v>4</v>
      </c>
      <c r="O3" s="27">
        <v>99912404.875</v>
      </c>
      <c r="P3" s="21" t="s">
        <v>24</v>
      </c>
      <c r="Q3" s="21" t="s">
        <v>25</v>
      </c>
      <c r="R3" s="23">
        <v>703716490</v>
      </c>
      <c r="S3" s="23" t="e" cm="1">
        <f t="array" aca="1" ref="S3" ca="1">Table1[[#This Row],[Nominal TRY]]*_xlfn.XLOOKUP(Table1[[#This Row],[Year]],Table2[[#All],[Year]],Table2[[#All],[Deflator to 2023]])</f>
        <v>#NAME?</v>
      </c>
      <c r="T3" s="24" t="e" cm="1">
        <f t="array" aca="1" ref="T3" ca="1">Table1[[#This Row],[Nominal TRY]]/_xlfn.XLOOKUP(Table1[[#This Row],[Year]],Table3[[#All],[Year]],Table3[[#All],[Rate]])</f>
        <v>#NAME?</v>
      </c>
    </row>
    <row r="4" spans="1:20">
      <c r="A4" s="21">
        <v>2020</v>
      </c>
      <c r="B4" s="21">
        <v>2020</v>
      </c>
      <c r="C4" s="21" t="s">
        <v>17</v>
      </c>
      <c r="D4" s="21" t="s">
        <v>18</v>
      </c>
      <c r="E4" s="21" t="s">
        <v>28</v>
      </c>
      <c r="F4" s="3" t="s">
        <v>29</v>
      </c>
      <c r="G4" s="21" t="s">
        <v>30</v>
      </c>
      <c r="H4" s="21" t="s">
        <v>31</v>
      </c>
      <c r="I4" s="22">
        <v>19535</v>
      </c>
      <c r="J4" s="21">
        <v>19535</v>
      </c>
      <c r="K4" s="21" t="s">
        <v>32</v>
      </c>
      <c r="L4" s="21"/>
      <c r="M4" s="21" t="b">
        <v>1</v>
      </c>
      <c r="N4" s="21">
        <v>4</v>
      </c>
      <c r="O4" s="28">
        <v>64491.166666666599</v>
      </c>
      <c r="P4" s="21" t="s">
        <v>24</v>
      </c>
      <c r="Q4" s="21" t="s">
        <v>25</v>
      </c>
      <c r="R4" s="23">
        <v>19535</v>
      </c>
      <c r="S4" s="23" t="e" cm="1">
        <f t="array" aca="1" ref="S4" ca="1">Table1[[#This Row],[Nominal TRY]]*_xlfn.XLOOKUP(Table1[[#This Row],[Year]],Table2[[#All],[Year]],Table2[[#All],[Deflator to 2023]])</f>
        <v>#NAME?</v>
      </c>
      <c r="T4" s="24" t="e" cm="1">
        <f t="array" aca="1" ref="T4" ca="1">Table1[[#This Row],[Nominal TRY]]/_xlfn.XLOOKUP(Table1[[#This Row],[Year]],Table3[[#All],[Year]],Table3[[#All],[Rate]])</f>
        <v>#NAME?</v>
      </c>
    </row>
    <row r="5" spans="1:20">
      <c r="A5" s="21">
        <v>2021</v>
      </c>
      <c r="B5" s="21">
        <v>2020</v>
      </c>
      <c r="C5" s="21" t="s">
        <v>17</v>
      </c>
      <c r="D5" s="21" t="s">
        <v>18</v>
      </c>
      <c r="E5" s="21" t="s">
        <v>34</v>
      </c>
      <c r="F5" s="3" t="s">
        <v>35</v>
      </c>
      <c r="G5" s="21" t="s">
        <v>21</v>
      </c>
      <c r="H5" s="21" t="s">
        <v>22</v>
      </c>
      <c r="I5" s="22">
        <v>159295</v>
      </c>
      <c r="J5" s="21">
        <v>159295</v>
      </c>
      <c r="K5" s="21" t="s">
        <v>32</v>
      </c>
      <c r="L5" s="21"/>
      <c r="M5" s="21" t="b">
        <v>1</v>
      </c>
      <c r="N5" s="21">
        <v>4</v>
      </c>
      <c r="O5" s="27">
        <v>153547.625</v>
      </c>
      <c r="P5" s="21" t="s">
        <v>36</v>
      </c>
      <c r="Q5" s="21" t="s">
        <v>25</v>
      </c>
      <c r="R5" s="23">
        <v>159295</v>
      </c>
      <c r="S5" s="23" t="e" cm="1">
        <f t="array" aca="1" ref="S5" ca="1">Table1[[#This Row],[Nominal TRY]]*_xlfn.XLOOKUP(Table1[[#This Row],[Year]],Table2[[#All],[Year]],Table2[[#All],[Deflator to 2023]])</f>
        <v>#NAME?</v>
      </c>
      <c r="T5" s="24" t="e" cm="1">
        <f t="array" aca="1" ref="T5" ca="1">Table1[[#This Row],[Nominal TRY]]/_xlfn.XLOOKUP(Table1[[#This Row],[Year]],Table3[[#All],[Year]],Table3[[#All],[Rate]])</f>
        <v>#NAME?</v>
      </c>
    </row>
    <row r="6" spans="1:20">
      <c r="A6" s="21">
        <v>2022</v>
      </c>
      <c r="B6" s="21">
        <v>2020</v>
      </c>
      <c r="C6" s="21" t="s">
        <v>17</v>
      </c>
      <c r="D6" s="21" t="s">
        <v>18</v>
      </c>
      <c r="E6" s="21" t="s">
        <v>34</v>
      </c>
      <c r="F6" s="3" t="s">
        <v>35</v>
      </c>
      <c r="G6" s="21" t="s">
        <v>21</v>
      </c>
      <c r="H6" s="21" t="s">
        <v>22</v>
      </c>
      <c r="I6" s="22">
        <v>171181</v>
      </c>
      <c r="J6" s="21">
        <v>171181</v>
      </c>
      <c r="K6" s="21" t="s">
        <v>32</v>
      </c>
      <c r="L6" s="25">
        <v>7.4616277974826497</v>
      </c>
      <c r="M6" s="21" t="b">
        <v>1</v>
      </c>
      <c r="N6" s="21">
        <v>4</v>
      </c>
      <c r="O6" s="27">
        <v>153547.625</v>
      </c>
      <c r="P6" s="21" t="s">
        <v>36</v>
      </c>
      <c r="Q6" s="21" t="s">
        <v>25</v>
      </c>
      <c r="R6" s="23">
        <v>171181</v>
      </c>
      <c r="S6" s="23" t="e" cm="1">
        <f t="array" aca="1" ref="S6" ca="1">Table1[[#This Row],[Nominal TRY]]*_xlfn.XLOOKUP(Table1[[#This Row],[Year]],Table2[[#All],[Year]],Table2[[#All],[Deflator to 2023]])</f>
        <v>#NAME?</v>
      </c>
      <c r="T6" s="24" t="e" cm="1">
        <f t="array" aca="1" ref="T6" ca="1">Table1[[#This Row],[Nominal TRY]]/_xlfn.XLOOKUP(Table1[[#This Row],[Year]],Table3[[#All],[Year]],Table3[[#All],[Rate]])</f>
        <v>#NAME?</v>
      </c>
    </row>
    <row r="7" spans="1:20">
      <c r="A7" s="21">
        <v>2021</v>
      </c>
      <c r="B7" s="21">
        <v>2020</v>
      </c>
      <c r="C7" s="21" t="s">
        <v>17</v>
      </c>
      <c r="D7" s="21" t="s">
        <v>18</v>
      </c>
      <c r="E7" s="21" t="s">
        <v>38</v>
      </c>
      <c r="F7" s="3" t="s">
        <v>39</v>
      </c>
      <c r="G7" s="21" t="s">
        <v>40</v>
      </c>
      <c r="H7" s="21" t="s">
        <v>22</v>
      </c>
      <c r="I7" s="22">
        <v>703716490</v>
      </c>
      <c r="J7" s="21">
        <v>703716490</v>
      </c>
      <c r="K7" s="21" t="s">
        <v>26</v>
      </c>
      <c r="L7" s="21"/>
      <c r="M7" s="21" t="b">
        <v>1</v>
      </c>
      <c r="N7" s="21">
        <v>4</v>
      </c>
      <c r="O7" s="27">
        <v>703716490</v>
      </c>
      <c r="P7" s="21" t="s">
        <v>41</v>
      </c>
      <c r="Q7" s="21" t="s">
        <v>25</v>
      </c>
      <c r="R7" s="23">
        <v>703716490</v>
      </c>
      <c r="S7" s="23" t="e" cm="1">
        <f t="array" aca="1" ref="S7" ca="1">Table1[[#This Row],[Nominal TRY]]*_xlfn.XLOOKUP(Table1[[#This Row],[Year]],Table2[[#All],[Year]],Table2[[#All],[Deflator to 2023]])</f>
        <v>#NAME?</v>
      </c>
      <c r="T7" s="24" t="e" cm="1">
        <f t="array" aca="1" ref="T7" ca="1">Table1[[#This Row],[Nominal TRY]]/_xlfn.XLOOKUP(Table1[[#This Row],[Year]],Table3[[#All],[Year]],Table3[[#All],[Rate]])</f>
        <v>#NAME?</v>
      </c>
    </row>
    <row r="8" spans="1:20" ht="29">
      <c r="A8" s="21">
        <v>2021</v>
      </c>
      <c r="B8" s="21">
        <v>2020</v>
      </c>
      <c r="C8" s="21" t="s">
        <v>17</v>
      </c>
      <c r="D8" s="21" t="s">
        <v>18</v>
      </c>
      <c r="E8" s="21" t="s">
        <v>42</v>
      </c>
      <c r="F8" s="3" t="s">
        <v>43</v>
      </c>
      <c r="G8" s="21" t="s">
        <v>21</v>
      </c>
      <c r="H8" s="21" t="s">
        <v>22</v>
      </c>
      <c r="I8" s="22">
        <v>349985</v>
      </c>
      <c r="J8" s="21">
        <v>349985</v>
      </c>
      <c r="K8" s="21" t="s">
        <v>32</v>
      </c>
      <c r="L8" s="21"/>
      <c r="M8" s="21" t="b">
        <v>1</v>
      </c>
      <c r="N8" s="21">
        <v>4</v>
      </c>
      <c r="O8" s="27">
        <v>88658573</v>
      </c>
      <c r="P8" s="21" t="s">
        <v>24</v>
      </c>
      <c r="Q8" s="21" t="s">
        <v>25</v>
      </c>
      <c r="R8" s="23">
        <v>349985</v>
      </c>
      <c r="S8" s="23" t="e" cm="1">
        <f t="array" aca="1" ref="S8" ca="1">Table1[[#This Row],[Nominal TRY]]*_xlfn.XLOOKUP(Table1[[#This Row],[Year]],Table2[[#All],[Year]],Table2[[#All],[Deflator to 2023]])</f>
        <v>#NAME?</v>
      </c>
      <c r="T8" s="24" t="e" cm="1">
        <f t="array" aca="1" ref="T8" ca="1">Table1[[#This Row],[Nominal TRY]]/_xlfn.XLOOKUP(Table1[[#This Row],[Year]],Table3[[#All],[Year]],Table3[[#All],[Rate]])</f>
        <v>#NAME?</v>
      </c>
    </row>
    <row r="9" spans="1:20">
      <c r="A9" s="21">
        <v>2023</v>
      </c>
      <c r="B9" s="21">
        <v>2020</v>
      </c>
      <c r="C9" s="21" t="s">
        <v>17</v>
      </c>
      <c r="D9" s="21" t="s">
        <v>18</v>
      </c>
      <c r="E9" s="21" t="s">
        <v>44</v>
      </c>
      <c r="F9" s="3" t="s">
        <v>45</v>
      </c>
      <c r="G9" s="21" t="s">
        <v>40</v>
      </c>
      <c r="H9" s="21" t="s">
        <v>22</v>
      </c>
      <c r="I9" s="22">
        <v>1717747000</v>
      </c>
      <c r="J9" s="21">
        <v>1717747000</v>
      </c>
      <c r="K9" s="21" t="s">
        <v>26</v>
      </c>
      <c r="L9" s="21"/>
      <c r="M9" s="21" t="b">
        <v>1</v>
      </c>
      <c r="N9" s="21">
        <v>4</v>
      </c>
      <c r="O9" s="27">
        <v>769230750</v>
      </c>
      <c r="P9" s="21" t="s">
        <v>36</v>
      </c>
      <c r="Q9" s="21" t="s">
        <v>25</v>
      </c>
      <c r="R9" s="23">
        <v>1717747000</v>
      </c>
      <c r="S9" s="23" t="e" cm="1">
        <f t="array" aca="1" ref="S9" ca="1">Table1[[#This Row],[Nominal TRY]]*_xlfn.XLOOKUP(Table1[[#This Row],[Year]],Table2[[#All],[Year]],Table2[[#All],[Deflator to 2023]])</f>
        <v>#NAME?</v>
      </c>
      <c r="T9" s="24" t="e" cm="1">
        <f t="array" aca="1" ref="T9" ca="1">Table1[[#This Row],[Nominal TRY]]/_xlfn.XLOOKUP(Table1[[#This Row],[Year]],Table3[[#All],[Year]],Table3[[#All],[Rate]])</f>
        <v>#NAME?</v>
      </c>
    </row>
    <row r="10" spans="1:20">
      <c r="A10" s="21">
        <v>2020</v>
      </c>
      <c r="B10" s="21">
        <v>2020</v>
      </c>
      <c r="C10" s="21" t="s">
        <v>17</v>
      </c>
      <c r="D10" s="21" t="s">
        <v>18</v>
      </c>
      <c r="E10" s="21" t="s">
        <v>44</v>
      </c>
      <c r="F10" s="3" t="s">
        <v>45</v>
      </c>
      <c r="G10" s="21" t="s">
        <v>40</v>
      </c>
      <c r="H10" s="21" t="s">
        <v>22</v>
      </c>
      <c r="I10" s="22">
        <v>633403000</v>
      </c>
      <c r="J10" s="21">
        <v>633403000</v>
      </c>
      <c r="K10" s="21" t="s">
        <v>26</v>
      </c>
      <c r="L10" s="21">
        <v>-63.125943459659602</v>
      </c>
      <c r="M10" s="21" t="b">
        <v>1</v>
      </c>
      <c r="N10" s="21">
        <v>4</v>
      </c>
      <c r="O10" s="27">
        <v>769230750</v>
      </c>
      <c r="P10" s="21" t="s">
        <v>36</v>
      </c>
      <c r="Q10" s="21" t="s">
        <v>25</v>
      </c>
      <c r="R10" s="23">
        <v>633403000</v>
      </c>
      <c r="S10" s="23" t="e" cm="1">
        <f t="array" aca="1" ref="S10" ca="1">Table1[[#This Row],[Nominal TRY]]*_xlfn.XLOOKUP(Table1[[#This Row],[Year]],Table2[[#All],[Year]],Table2[[#All],[Deflator to 2023]])</f>
        <v>#NAME?</v>
      </c>
      <c r="T10" s="24" t="e" cm="1">
        <f t="array" aca="1" ref="T10" ca="1">Table1[[#This Row],[Nominal TRY]]/_xlfn.XLOOKUP(Table1[[#This Row],[Year]],Table3[[#All],[Year]],Table3[[#All],[Rate]])</f>
        <v>#NAME?</v>
      </c>
    </row>
    <row r="11" spans="1:20">
      <c r="A11" s="21">
        <v>2022</v>
      </c>
      <c r="B11" s="21">
        <v>2020</v>
      </c>
      <c r="C11" s="21" t="s">
        <v>17</v>
      </c>
      <c r="D11" s="21" t="s">
        <v>18</v>
      </c>
      <c r="E11" s="21" t="s">
        <v>28</v>
      </c>
      <c r="F11" s="3" t="s">
        <v>29</v>
      </c>
      <c r="G11" s="21" t="s">
        <v>30</v>
      </c>
      <c r="H11" s="21" t="s">
        <v>31</v>
      </c>
      <c r="I11" s="22">
        <v>9442</v>
      </c>
      <c r="J11" s="21">
        <v>9442</v>
      </c>
      <c r="K11" s="21" t="s">
        <v>32</v>
      </c>
      <c r="L11" s="21">
        <v>-51.666240081904199</v>
      </c>
      <c r="M11" s="21" t="b">
        <v>1</v>
      </c>
      <c r="N11" s="21">
        <v>4</v>
      </c>
      <c r="O11" s="28">
        <v>64491.166666666599</v>
      </c>
      <c r="P11" s="21" t="s">
        <v>24</v>
      </c>
      <c r="Q11" s="21" t="s">
        <v>25</v>
      </c>
      <c r="R11" s="23">
        <v>9442</v>
      </c>
      <c r="S11" s="23" t="e" cm="1">
        <f t="array" aca="1" ref="S11" ca="1">Table1[[#This Row],[Nominal TRY]]*_xlfn.XLOOKUP(Table1[[#This Row],[Year]],Table2[[#All],[Year]],Table2[[#All],[Deflator to 2023]])</f>
        <v>#NAME?</v>
      </c>
      <c r="T11" s="24" t="e" cm="1">
        <f t="array" aca="1" ref="T11" ca="1">Table1[[#This Row],[Nominal TRY]]/_xlfn.XLOOKUP(Table1[[#This Row],[Year]],Table3[[#All],[Year]],Table3[[#All],[Rate]])</f>
        <v>#NAME?</v>
      </c>
    </row>
    <row r="12" spans="1:20">
      <c r="A12" s="21">
        <v>2023</v>
      </c>
      <c r="B12" s="21">
        <v>2020</v>
      </c>
      <c r="C12" s="21" t="s">
        <v>17</v>
      </c>
      <c r="D12" s="21" t="s">
        <v>18</v>
      </c>
      <c r="E12" s="21" t="s">
        <v>28</v>
      </c>
      <c r="F12" s="3" t="s">
        <v>29</v>
      </c>
      <c r="G12" s="21" t="s">
        <v>30</v>
      </c>
      <c r="H12" s="21" t="s">
        <v>31</v>
      </c>
      <c r="I12" s="22">
        <v>9887</v>
      </c>
      <c r="J12" s="21">
        <v>9887</v>
      </c>
      <c r="K12" s="21" t="s">
        <v>32</v>
      </c>
      <c r="L12" s="25">
        <v>4.7129845371743198</v>
      </c>
      <c r="M12" s="21" t="b">
        <v>1</v>
      </c>
      <c r="N12" s="21">
        <v>4</v>
      </c>
      <c r="O12" s="26">
        <v>64491.166666666599</v>
      </c>
      <c r="P12" s="21" t="s">
        <v>24</v>
      </c>
      <c r="Q12" s="21" t="s">
        <v>25</v>
      </c>
      <c r="R12" s="23">
        <v>9887</v>
      </c>
      <c r="S12" s="23" t="e" cm="1">
        <f t="array" aca="1" ref="S12" ca="1">Table1[[#This Row],[Nominal TRY]]*_xlfn.XLOOKUP(Table1[[#This Row],[Year]],Table2[[#All],[Year]],Table2[[#All],[Deflator to 2023]])</f>
        <v>#NAME?</v>
      </c>
      <c r="T12" s="24" t="e" cm="1">
        <f t="array" aca="1" ref="T12" ca="1">Table1[[#This Row],[Nominal TRY]]/_xlfn.XLOOKUP(Table1[[#This Row],[Year]],Table3[[#All],[Year]],Table3[[#All],[Rate]])</f>
        <v>#NAME?</v>
      </c>
    </row>
    <row r="13" spans="1:20">
      <c r="A13" s="21">
        <v>2020</v>
      </c>
      <c r="B13" s="21">
        <v>2020</v>
      </c>
      <c r="C13" s="21" t="s">
        <v>17</v>
      </c>
      <c r="D13" s="21" t="s">
        <v>18</v>
      </c>
      <c r="E13" s="21" t="s">
        <v>28</v>
      </c>
      <c r="F13" s="3" t="s">
        <v>29</v>
      </c>
      <c r="G13" s="21" t="s">
        <v>30</v>
      </c>
      <c r="H13" s="21" t="s">
        <v>31</v>
      </c>
      <c r="I13" s="22">
        <v>7423</v>
      </c>
      <c r="J13" s="21">
        <v>7423</v>
      </c>
      <c r="K13" s="21" t="s">
        <v>32</v>
      </c>
      <c r="L13" s="21">
        <v>-24.921614240922398</v>
      </c>
      <c r="M13" s="21" t="b">
        <v>1</v>
      </c>
      <c r="N13" s="21">
        <v>4</v>
      </c>
      <c r="O13" s="28">
        <v>64491.166666666599</v>
      </c>
      <c r="P13" s="21" t="s">
        <v>24</v>
      </c>
      <c r="Q13" s="21" t="s">
        <v>25</v>
      </c>
      <c r="R13" s="23">
        <v>7423</v>
      </c>
      <c r="S13" s="23" t="e" cm="1">
        <f t="array" aca="1" ref="S13" ca="1">Table1[[#This Row],[Nominal TRY]]*_xlfn.XLOOKUP(Table1[[#This Row],[Year]],Table2[[#All],[Year]],Table2[[#All],[Deflator to 2023]])</f>
        <v>#NAME?</v>
      </c>
      <c r="T13" s="24" t="e" cm="1">
        <f t="array" aca="1" ref="T13" ca="1">Table1[[#This Row],[Nominal TRY]]/_xlfn.XLOOKUP(Table1[[#This Row],[Year]],Table3[[#All],[Year]],Table3[[#All],[Rate]])</f>
        <v>#NAME?</v>
      </c>
    </row>
    <row r="14" spans="1:20">
      <c r="A14" s="21">
        <v>2022</v>
      </c>
      <c r="B14" s="21">
        <v>2020</v>
      </c>
      <c r="C14" s="21" t="s">
        <v>17</v>
      </c>
      <c r="D14" s="21" t="s">
        <v>18</v>
      </c>
      <c r="E14" s="21" t="s">
        <v>47</v>
      </c>
      <c r="F14" s="3" t="s">
        <v>48</v>
      </c>
      <c r="G14" s="21" t="s">
        <v>40</v>
      </c>
      <c r="H14" s="21" t="s">
        <v>22</v>
      </c>
      <c r="I14" s="22">
        <v>1762107952</v>
      </c>
      <c r="J14" s="21">
        <v>1762107952</v>
      </c>
      <c r="K14" s="21" t="s">
        <v>26</v>
      </c>
      <c r="L14" s="21"/>
      <c r="M14" s="21" t="b">
        <v>1</v>
      </c>
      <c r="N14" s="21">
        <v>4</v>
      </c>
      <c r="O14" s="27">
        <v>2578410250</v>
      </c>
      <c r="P14" s="21" t="s">
        <v>24</v>
      </c>
      <c r="Q14" s="21" t="s">
        <v>25</v>
      </c>
      <c r="R14" s="23">
        <v>1762107952</v>
      </c>
      <c r="S14" s="23" t="e" cm="1">
        <f t="array" aca="1" ref="S14" ca="1">Table1[[#This Row],[Nominal TRY]]*_xlfn.XLOOKUP(Table1[[#This Row],[Year]],Table2[[#All],[Year]],Table2[[#All],[Deflator to 2023]])</f>
        <v>#NAME?</v>
      </c>
      <c r="T14" s="24" t="e" cm="1">
        <f t="array" aca="1" ref="T14" ca="1">Table1[[#This Row],[Nominal TRY]]/_xlfn.XLOOKUP(Table1[[#This Row],[Year]],Table3[[#All],[Year]],Table3[[#All],[Rate]])</f>
        <v>#NAME?</v>
      </c>
    </row>
    <row r="15" spans="1:20">
      <c r="A15" s="21">
        <v>2023</v>
      </c>
      <c r="B15" s="21">
        <v>2020</v>
      </c>
      <c r="C15" s="21" t="s">
        <v>17</v>
      </c>
      <c r="D15" s="21" t="s">
        <v>18</v>
      </c>
      <c r="E15" s="21" t="s">
        <v>47</v>
      </c>
      <c r="F15" s="3" t="s">
        <v>48</v>
      </c>
      <c r="G15" s="21" t="s">
        <v>40</v>
      </c>
      <c r="H15" s="21" t="s">
        <v>22</v>
      </c>
      <c r="I15" s="22">
        <v>2204386837</v>
      </c>
      <c r="J15" s="21">
        <v>2204386837</v>
      </c>
      <c r="K15" s="21" t="s">
        <v>26</v>
      </c>
      <c r="L15" s="25">
        <v>25.0994205263083</v>
      </c>
      <c r="M15" s="21" t="b">
        <v>1</v>
      </c>
      <c r="N15" s="21">
        <v>4</v>
      </c>
      <c r="O15" s="27">
        <v>2578410250</v>
      </c>
      <c r="P15" s="21" t="s">
        <v>24</v>
      </c>
      <c r="Q15" s="21" t="s">
        <v>25</v>
      </c>
      <c r="R15" s="23">
        <v>2204386837</v>
      </c>
      <c r="S15" s="23" t="e" cm="1">
        <f t="array" aca="1" ref="S15" ca="1">Table1[[#This Row],[Nominal TRY]]*_xlfn.XLOOKUP(Table1[[#This Row],[Year]],Table2[[#All],[Year]],Table2[[#All],[Deflator to 2023]])</f>
        <v>#NAME?</v>
      </c>
      <c r="T15" s="24" t="e" cm="1">
        <f t="array" aca="1" ref="T15" ca="1">Table1[[#This Row],[Nominal TRY]]/_xlfn.XLOOKUP(Table1[[#This Row],[Year]],Table3[[#All],[Year]],Table3[[#All],[Rate]])</f>
        <v>#NAME?</v>
      </c>
    </row>
    <row r="16" spans="1:20">
      <c r="A16" s="21">
        <v>2020</v>
      </c>
      <c r="B16" s="21">
        <v>2020</v>
      </c>
      <c r="C16" s="21" t="s">
        <v>17</v>
      </c>
      <c r="D16" s="21" t="s">
        <v>18</v>
      </c>
      <c r="E16" s="21" t="s">
        <v>47</v>
      </c>
      <c r="F16" s="3" t="s">
        <v>48</v>
      </c>
      <c r="G16" s="21" t="s">
        <v>40</v>
      </c>
      <c r="H16" s="21" t="s">
        <v>22</v>
      </c>
      <c r="I16" s="22">
        <v>2391909741</v>
      </c>
      <c r="J16" s="21">
        <v>2391909741</v>
      </c>
      <c r="K16" s="21" t="s">
        <v>26</v>
      </c>
      <c r="L16" s="25">
        <v>8.5068056501010592</v>
      </c>
      <c r="M16" s="21" t="b">
        <v>1</v>
      </c>
      <c r="N16" s="21">
        <v>4</v>
      </c>
      <c r="O16" s="27">
        <v>2578410250</v>
      </c>
      <c r="P16" s="21" t="s">
        <v>24</v>
      </c>
      <c r="Q16" s="21" t="s">
        <v>25</v>
      </c>
      <c r="R16" s="23">
        <v>2391909741</v>
      </c>
      <c r="S16" s="23" t="e" cm="1">
        <f t="array" aca="1" ref="S16" ca="1">Table1[[#This Row],[Nominal TRY]]*_xlfn.XLOOKUP(Table1[[#This Row],[Year]],Table2[[#All],[Year]],Table2[[#All],[Deflator to 2023]])</f>
        <v>#NAME?</v>
      </c>
      <c r="T16" s="24" t="e" cm="1">
        <f t="array" aca="1" ref="T16" ca="1">Table1[[#This Row],[Nominal TRY]]/_xlfn.XLOOKUP(Table1[[#This Row],[Year]],Table3[[#All],[Year]],Table3[[#All],[Rate]])</f>
        <v>#NAME?</v>
      </c>
    </row>
    <row r="17" spans="1:20">
      <c r="A17" s="21">
        <v>2022</v>
      </c>
      <c r="B17" s="21">
        <v>2020</v>
      </c>
      <c r="C17" s="21" t="s">
        <v>17</v>
      </c>
      <c r="D17" s="21" t="s">
        <v>18</v>
      </c>
      <c r="E17" s="21" t="s">
        <v>51</v>
      </c>
      <c r="F17" s="3" t="s">
        <v>52</v>
      </c>
      <c r="G17" s="21" t="s">
        <v>30</v>
      </c>
      <c r="H17" s="21" t="s">
        <v>22</v>
      </c>
      <c r="I17" s="22">
        <v>703716490</v>
      </c>
      <c r="J17" s="21">
        <v>703716490</v>
      </c>
      <c r="K17" s="21" t="s">
        <v>26</v>
      </c>
      <c r="L17" s="21"/>
      <c r="M17" s="21" t="b">
        <v>1</v>
      </c>
      <c r="N17" s="21">
        <v>4</v>
      </c>
      <c r="O17" s="27">
        <v>703716490</v>
      </c>
      <c r="P17" s="21" t="s">
        <v>41</v>
      </c>
      <c r="Q17" s="21" t="s">
        <v>25</v>
      </c>
      <c r="R17" s="23">
        <v>703716490</v>
      </c>
      <c r="S17" s="23" t="e" cm="1">
        <f t="array" aca="1" ref="S17" ca="1">Table1[[#This Row],[Nominal TRY]]*_xlfn.XLOOKUP(Table1[[#This Row],[Year]],Table2[[#All],[Year]],Table2[[#All],[Deflator to 2023]])</f>
        <v>#NAME?</v>
      </c>
      <c r="T17" s="24" t="e" cm="1">
        <f t="array" aca="1" ref="T17" ca="1">Table1[[#This Row],[Nominal TRY]]/_xlfn.XLOOKUP(Table1[[#This Row],[Year]],Table3[[#All],[Year]],Table3[[#All],[Rate]])</f>
        <v>#NAME?</v>
      </c>
    </row>
    <row r="18" spans="1:20">
      <c r="A18" s="21">
        <v>2023</v>
      </c>
      <c r="B18" s="21">
        <v>2020</v>
      </c>
      <c r="C18" s="21" t="s">
        <v>17</v>
      </c>
      <c r="D18" s="21" t="s">
        <v>18</v>
      </c>
      <c r="E18" s="21" t="s">
        <v>51</v>
      </c>
      <c r="F18" s="3" t="s">
        <v>52</v>
      </c>
      <c r="G18" s="21" t="s">
        <v>30</v>
      </c>
      <c r="H18" s="21" t="s">
        <v>22</v>
      </c>
      <c r="I18" s="22">
        <v>703716490</v>
      </c>
      <c r="J18" s="21">
        <v>703716490</v>
      </c>
      <c r="K18" s="21" t="s">
        <v>26</v>
      </c>
      <c r="L18" s="21"/>
      <c r="M18" s="21" t="b">
        <v>1</v>
      </c>
      <c r="N18" s="21">
        <v>4</v>
      </c>
      <c r="O18" s="27">
        <v>703716490</v>
      </c>
      <c r="P18" s="21" t="s">
        <v>41</v>
      </c>
      <c r="Q18" s="21" t="s">
        <v>25</v>
      </c>
      <c r="R18" s="23">
        <v>703716490</v>
      </c>
      <c r="S18" s="23" t="e" cm="1">
        <f t="array" aca="1" ref="S18" ca="1">Table1[[#This Row],[Nominal TRY]]*_xlfn.XLOOKUP(Table1[[#This Row],[Year]],Table2[[#All],[Year]],Table2[[#All],[Deflator to 2023]])</f>
        <v>#NAME?</v>
      </c>
      <c r="T18" s="24" t="e" cm="1">
        <f t="array" aca="1" ref="T18" ca="1">Table1[[#This Row],[Nominal TRY]]/_xlfn.XLOOKUP(Table1[[#This Row],[Year]],Table3[[#All],[Year]],Table3[[#All],[Rate]])</f>
        <v>#NAME?</v>
      </c>
    </row>
    <row r="19" spans="1:20">
      <c r="A19" s="21">
        <v>2022</v>
      </c>
      <c r="B19" s="21">
        <v>2020</v>
      </c>
      <c r="C19" s="21" t="s">
        <v>17</v>
      </c>
      <c r="D19" s="21" t="s">
        <v>18</v>
      </c>
      <c r="E19" s="21" t="s">
        <v>28</v>
      </c>
      <c r="F19" s="3" t="s">
        <v>29</v>
      </c>
      <c r="G19" s="21" t="s">
        <v>30</v>
      </c>
      <c r="H19" s="21" t="s">
        <v>31</v>
      </c>
      <c r="I19" s="22">
        <v>8330</v>
      </c>
      <c r="J19" s="21">
        <v>8330</v>
      </c>
      <c r="K19" s="21" t="s">
        <v>32</v>
      </c>
      <c r="L19" s="21">
        <v>12.218779469217299</v>
      </c>
      <c r="M19" s="21" t="b">
        <v>1</v>
      </c>
      <c r="N19" s="21">
        <v>4</v>
      </c>
      <c r="O19" s="28">
        <v>64491.166666666599</v>
      </c>
      <c r="P19" s="21" t="s">
        <v>24</v>
      </c>
      <c r="Q19" s="21" t="s">
        <v>25</v>
      </c>
      <c r="R19" s="23">
        <v>8330</v>
      </c>
      <c r="S19" s="23" t="e" cm="1">
        <f t="array" aca="1" ref="S19" ca="1">Table1[[#This Row],[Nominal TRY]]*_xlfn.XLOOKUP(Table1[[#This Row],[Year]],Table2[[#All],[Year]],Table2[[#All],[Deflator to 2023]])</f>
        <v>#NAME?</v>
      </c>
      <c r="T19" s="24" t="e" cm="1">
        <f t="array" aca="1" ref="T19" ca="1">Table1[[#This Row],[Nominal TRY]]/_xlfn.XLOOKUP(Table1[[#This Row],[Year]],Table3[[#All],[Year]],Table3[[#All],[Rate]])</f>
        <v>#NAME?</v>
      </c>
    </row>
    <row r="20" spans="1:20">
      <c r="A20" s="21">
        <v>2023</v>
      </c>
      <c r="B20" s="21">
        <v>2020</v>
      </c>
      <c r="C20" s="21" t="s">
        <v>17</v>
      </c>
      <c r="D20" s="21" t="s">
        <v>18</v>
      </c>
      <c r="E20" s="21" t="s">
        <v>28</v>
      </c>
      <c r="F20" s="3" t="s">
        <v>29</v>
      </c>
      <c r="G20" s="21" t="s">
        <v>30</v>
      </c>
      <c r="H20" s="21" t="s">
        <v>31</v>
      </c>
      <c r="I20" s="22">
        <v>8723</v>
      </c>
      <c r="J20" s="21">
        <v>8723</v>
      </c>
      <c r="K20" s="21" t="s">
        <v>32</v>
      </c>
      <c r="L20" s="25">
        <v>4.7178871548619403</v>
      </c>
      <c r="M20" s="21" t="b">
        <v>1</v>
      </c>
      <c r="N20" s="21">
        <v>4</v>
      </c>
      <c r="O20" s="28">
        <v>64491.166666666599</v>
      </c>
      <c r="P20" s="21" t="s">
        <v>24</v>
      </c>
      <c r="Q20" s="21" t="s">
        <v>25</v>
      </c>
      <c r="R20" s="23">
        <v>8723</v>
      </c>
      <c r="S20" s="23" t="e" cm="1">
        <f t="array" aca="1" ref="S20" ca="1">Table1[[#This Row],[Nominal TRY]]*_xlfn.XLOOKUP(Table1[[#This Row],[Year]],Table2[[#All],[Year]],Table2[[#All],[Deflator to 2023]])</f>
        <v>#NAME?</v>
      </c>
      <c r="T20" s="24" t="e" cm="1">
        <f t="array" aca="1" ref="T20" ca="1">Table1[[#This Row],[Nominal TRY]]/_xlfn.XLOOKUP(Table1[[#This Row],[Year]],Table3[[#All],[Year]],Table3[[#All],[Rate]])</f>
        <v>#NAME?</v>
      </c>
    </row>
    <row r="21" spans="1:20">
      <c r="A21" s="21">
        <v>2020</v>
      </c>
      <c r="B21" s="21">
        <v>2020</v>
      </c>
      <c r="C21" s="21" t="s">
        <v>17</v>
      </c>
      <c r="D21" s="21" t="s">
        <v>18</v>
      </c>
      <c r="E21" s="21" t="s">
        <v>38</v>
      </c>
      <c r="F21" s="3" t="s">
        <v>39</v>
      </c>
      <c r="G21" s="21" t="s">
        <v>40</v>
      </c>
      <c r="H21" s="21" t="s">
        <v>22</v>
      </c>
      <c r="I21" s="22">
        <v>703716490</v>
      </c>
      <c r="J21" s="21">
        <v>703716490</v>
      </c>
      <c r="K21" s="21" t="s">
        <v>26</v>
      </c>
      <c r="L21" s="21"/>
      <c r="M21" s="21" t="b">
        <v>1</v>
      </c>
      <c r="N21" s="21">
        <v>4</v>
      </c>
      <c r="O21" s="27">
        <v>703716490</v>
      </c>
      <c r="P21" s="21" t="s">
        <v>41</v>
      </c>
      <c r="Q21" s="21" t="s">
        <v>25</v>
      </c>
      <c r="R21" s="23">
        <v>703716490</v>
      </c>
      <c r="S21" s="23" t="e" cm="1">
        <f t="array" aca="1" ref="S21" ca="1">Table1[[#This Row],[Nominal TRY]]*_xlfn.XLOOKUP(Table1[[#This Row],[Year]],Table2[[#All],[Year]],Table2[[#All],[Deflator to 2023]])</f>
        <v>#NAME?</v>
      </c>
      <c r="T21" s="24" t="e" cm="1">
        <f t="array" aca="1" ref="T21" ca="1">Table1[[#This Row],[Nominal TRY]]/_xlfn.XLOOKUP(Table1[[#This Row],[Year]],Table3[[#All],[Year]],Table3[[#All],[Rate]])</f>
        <v>#NAME?</v>
      </c>
    </row>
    <row r="22" spans="1:20" ht="29">
      <c r="A22" s="21">
        <v>2022</v>
      </c>
      <c r="B22" s="21">
        <v>2020</v>
      </c>
      <c r="C22" s="21" t="s">
        <v>17</v>
      </c>
      <c r="D22" s="21" t="s">
        <v>18</v>
      </c>
      <c r="E22" s="21" t="s">
        <v>42</v>
      </c>
      <c r="F22" s="3" t="s">
        <v>43</v>
      </c>
      <c r="G22" s="21" t="s">
        <v>21</v>
      </c>
      <c r="H22" s="21" t="s">
        <v>22</v>
      </c>
      <c r="I22" s="22">
        <v>1938019</v>
      </c>
      <c r="J22" s="21">
        <v>1938019</v>
      </c>
      <c r="K22" s="21" t="s">
        <v>23</v>
      </c>
      <c r="L22" s="25">
        <v>453.743446147692</v>
      </c>
      <c r="M22" s="21" t="b">
        <v>1</v>
      </c>
      <c r="N22" s="21">
        <v>4</v>
      </c>
      <c r="O22" s="27">
        <v>88658573</v>
      </c>
      <c r="P22" s="21" t="s">
        <v>24</v>
      </c>
      <c r="Q22" s="21" t="s">
        <v>25</v>
      </c>
      <c r="R22" s="23">
        <v>1938019</v>
      </c>
      <c r="S22" s="23" t="e" cm="1">
        <f t="array" aca="1" ref="S22" ca="1">Table1[[#This Row],[Nominal TRY]]*_xlfn.XLOOKUP(Table1[[#This Row],[Year]],Table2[[#All],[Year]],Table2[[#All],[Deflator to 2023]])</f>
        <v>#NAME?</v>
      </c>
      <c r="T22" s="24" t="e" cm="1">
        <f t="array" aca="1" ref="T22" ca="1">Table1[[#This Row],[Nominal TRY]]/_xlfn.XLOOKUP(Table1[[#This Row],[Year]],Table3[[#All],[Year]],Table3[[#All],[Rate]])</f>
        <v>#NAME?</v>
      </c>
    </row>
    <row r="23" spans="1:20" ht="29">
      <c r="A23" s="21">
        <v>2023</v>
      </c>
      <c r="B23" s="21">
        <v>2020</v>
      </c>
      <c r="C23" s="21" t="s">
        <v>17</v>
      </c>
      <c r="D23" s="21" t="s">
        <v>18</v>
      </c>
      <c r="E23" s="21" t="s">
        <v>42</v>
      </c>
      <c r="F23" s="3" t="s">
        <v>43</v>
      </c>
      <c r="G23" s="21" t="s">
        <v>21</v>
      </c>
      <c r="H23" s="21" t="s">
        <v>22</v>
      </c>
      <c r="I23" s="22">
        <v>703716490</v>
      </c>
      <c r="J23" s="21">
        <v>703716490</v>
      </c>
      <c r="K23" s="21" t="s">
        <v>26</v>
      </c>
      <c r="L23" s="25">
        <v>36211.124400741101</v>
      </c>
      <c r="M23" s="21" t="b">
        <v>1</v>
      </c>
      <c r="N23" s="21">
        <v>4</v>
      </c>
      <c r="O23" s="27">
        <v>88658573</v>
      </c>
      <c r="P23" s="21" t="s">
        <v>24</v>
      </c>
      <c r="Q23" s="21" t="s">
        <v>25</v>
      </c>
      <c r="R23" s="23">
        <v>703716490</v>
      </c>
      <c r="S23" s="23" t="e" cm="1">
        <f t="array" aca="1" ref="S23" ca="1">Table1[[#This Row],[Nominal TRY]]*_xlfn.XLOOKUP(Table1[[#This Row],[Year]],Table2[[#All],[Year]],Table2[[#All],[Deflator to 2023]])</f>
        <v>#NAME?</v>
      </c>
      <c r="T23" s="24" t="e" cm="1">
        <f t="array" aca="1" ref="T23" ca="1">Table1[[#This Row],[Nominal TRY]]/_xlfn.XLOOKUP(Table1[[#This Row],[Year]],Table3[[#All],[Year]],Table3[[#All],[Rate]])</f>
        <v>#NAME?</v>
      </c>
    </row>
    <row r="24" spans="1:20" ht="29">
      <c r="A24" s="21">
        <v>2020</v>
      </c>
      <c r="B24" s="21">
        <v>2020</v>
      </c>
      <c r="C24" s="21" t="s">
        <v>17</v>
      </c>
      <c r="D24" s="21" t="s">
        <v>18</v>
      </c>
      <c r="E24" s="21" t="s">
        <v>42</v>
      </c>
      <c r="F24" s="3" t="s">
        <v>43</v>
      </c>
      <c r="G24" s="21" t="s">
        <v>21</v>
      </c>
      <c r="H24" s="21" t="s">
        <v>22</v>
      </c>
      <c r="I24" s="22">
        <v>179901</v>
      </c>
      <c r="J24" s="21">
        <v>179901</v>
      </c>
      <c r="K24" s="21" t="s">
        <v>32</v>
      </c>
      <c r="L24" s="21">
        <v>-99.974435585557998</v>
      </c>
      <c r="M24" s="21" t="b">
        <v>1</v>
      </c>
      <c r="N24" s="21">
        <v>4</v>
      </c>
      <c r="O24" s="27">
        <v>88658573</v>
      </c>
      <c r="P24" s="21" t="s">
        <v>24</v>
      </c>
      <c r="Q24" s="21" t="s">
        <v>25</v>
      </c>
      <c r="R24" s="23">
        <v>179901</v>
      </c>
      <c r="S24" s="23" t="e" cm="1">
        <f t="array" aca="1" ref="S24" ca="1">Table1[[#This Row],[Nominal TRY]]*_xlfn.XLOOKUP(Table1[[#This Row],[Year]],Table2[[#All],[Year]],Table2[[#All],[Deflator to 2023]])</f>
        <v>#NAME?</v>
      </c>
      <c r="T24" s="24" t="e" cm="1">
        <f t="array" aca="1" ref="T24" ca="1">Table1[[#This Row],[Nominal TRY]]/_xlfn.XLOOKUP(Table1[[#This Row],[Year]],Table3[[#All],[Year]],Table3[[#All],[Rate]])</f>
        <v>#NAME?</v>
      </c>
    </row>
    <row r="25" spans="1:20">
      <c r="A25" s="21">
        <v>2023</v>
      </c>
      <c r="B25" s="21">
        <v>2020</v>
      </c>
      <c r="C25" s="21" t="s">
        <v>17</v>
      </c>
      <c r="D25" s="21" t="s">
        <v>18</v>
      </c>
      <c r="E25" s="21" t="s">
        <v>56</v>
      </c>
      <c r="F25" s="3" t="s">
        <v>57</v>
      </c>
      <c r="G25" s="21" t="s">
        <v>21</v>
      </c>
      <c r="H25" s="21" t="s">
        <v>22</v>
      </c>
      <c r="I25" s="22">
        <v>703716490</v>
      </c>
      <c r="J25" s="21">
        <v>703716490</v>
      </c>
      <c r="K25" s="21" t="s">
        <v>26</v>
      </c>
      <c r="L25" s="21"/>
      <c r="M25" s="21" t="b">
        <v>1</v>
      </c>
      <c r="N25" s="21">
        <v>4</v>
      </c>
      <c r="O25" s="27">
        <v>190634414.125</v>
      </c>
      <c r="P25" s="21" t="s">
        <v>24</v>
      </c>
      <c r="Q25" s="21" t="s">
        <v>25</v>
      </c>
      <c r="R25" s="23">
        <v>703716490</v>
      </c>
      <c r="S25" s="23" t="e" cm="1">
        <f t="array" aca="1" ref="S25" ca="1">Table1[[#This Row],[Nominal TRY]]*_xlfn.XLOOKUP(Table1[[#This Row],[Year]],Table2[[#All],[Year]],Table2[[#All],[Deflator to 2023]])</f>
        <v>#NAME?</v>
      </c>
      <c r="T25" s="24" t="e" cm="1">
        <f t="array" aca="1" ref="T25" ca="1">Table1[[#This Row],[Nominal TRY]]/_xlfn.XLOOKUP(Table1[[#This Row],[Year]],Table3[[#All],[Year]],Table3[[#All],[Rate]])</f>
        <v>#NAME?</v>
      </c>
    </row>
    <row r="26" spans="1:20">
      <c r="A26" s="21">
        <v>2020</v>
      </c>
      <c r="B26" s="21">
        <v>2020</v>
      </c>
      <c r="C26" s="21" t="s">
        <v>17</v>
      </c>
      <c r="D26" s="21" t="s">
        <v>18</v>
      </c>
      <c r="E26" s="21" t="s">
        <v>56</v>
      </c>
      <c r="F26" s="3" t="s">
        <v>57</v>
      </c>
      <c r="G26" s="21" t="s">
        <v>21</v>
      </c>
      <c r="H26" s="21" t="s">
        <v>22</v>
      </c>
      <c r="I26" s="22">
        <v>1423529</v>
      </c>
      <c r="J26" s="21">
        <v>1423529</v>
      </c>
      <c r="K26" s="21" t="s">
        <v>23</v>
      </c>
      <c r="L26" s="21">
        <v>-99.797712712402102</v>
      </c>
      <c r="M26" s="21" t="b">
        <v>1</v>
      </c>
      <c r="N26" s="21">
        <v>4</v>
      </c>
      <c r="O26" s="27">
        <v>190634414.125</v>
      </c>
      <c r="P26" s="21" t="s">
        <v>24</v>
      </c>
      <c r="Q26" s="21" t="s">
        <v>25</v>
      </c>
      <c r="R26" s="23">
        <v>1423529</v>
      </c>
      <c r="S26" s="23" t="e" cm="1">
        <f t="array" aca="1" ref="S26" ca="1">Table1[[#This Row],[Nominal TRY]]*_xlfn.XLOOKUP(Table1[[#This Row],[Year]],Table2[[#All],[Year]],Table2[[#All],[Deflator to 2023]])</f>
        <v>#NAME?</v>
      </c>
      <c r="T26" s="24" t="e" cm="1">
        <f t="array" aca="1" ref="T26" ca="1">Table1[[#This Row],[Nominal TRY]]/_xlfn.XLOOKUP(Table1[[#This Row],[Year]],Table3[[#All],[Year]],Table3[[#All],[Rate]])</f>
        <v>#NAME?</v>
      </c>
    </row>
    <row r="27" spans="1:20">
      <c r="A27" s="21">
        <v>2021</v>
      </c>
      <c r="B27" s="21">
        <v>2020</v>
      </c>
      <c r="C27" s="21" t="s">
        <v>17</v>
      </c>
      <c r="D27" s="21" t="s">
        <v>18</v>
      </c>
      <c r="E27" s="21" t="s">
        <v>56</v>
      </c>
      <c r="F27" s="3" t="s">
        <v>57</v>
      </c>
      <c r="G27" s="21" t="s">
        <v>21</v>
      </c>
      <c r="H27" s="21" t="s">
        <v>22</v>
      </c>
      <c r="I27" s="22">
        <v>1937403</v>
      </c>
      <c r="J27" s="21">
        <v>1937403</v>
      </c>
      <c r="K27" s="21" t="s">
        <v>23</v>
      </c>
      <c r="L27" s="25">
        <v>36.0985972186024</v>
      </c>
      <c r="M27" s="21" t="b">
        <v>1</v>
      </c>
      <c r="N27" s="21">
        <v>4</v>
      </c>
      <c r="O27" s="27">
        <v>190634414.125</v>
      </c>
      <c r="P27" s="21" t="s">
        <v>24</v>
      </c>
      <c r="Q27" s="21" t="s">
        <v>25</v>
      </c>
      <c r="R27" s="23">
        <v>1937403</v>
      </c>
      <c r="S27" s="23" t="e" cm="1">
        <f t="array" aca="1" ref="S27" ca="1">Table1[[#This Row],[Nominal TRY]]*_xlfn.XLOOKUP(Table1[[#This Row],[Year]],Table2[[#All],[Year]],Table2[[#All],[Deflator to 2023]])</f>
        <v>#NAME?</v>
      </c>
      <c r="T27" s="24" t="e" cm="1">
        <f t="array" aca="1" ref="T27" ca="1">Table1[[#This Row],[Nominal TRY]]/_xlfn.XLOOKUP(Table1[[#This Row],[Year]],Table3[[#All],[Year]],Table3[[#All],[Rate]])</f>
        <v>#NAME?</v>
      </c>
    </row>
    <row r="28" spans="1:20">
      <c r="A28" s="21">
        <v>2022</v>
      </c>
      <c r="B28" s="21">
        <v>2020</v>
      </c>
      <c r="C28" s="21" t="s">
        <v>17</v>
      </c>
      <c r="D28" s="21" t="s">
        <v>18</v>
      </c>
      <c r="E28" s="21" t="s">
        <v>59</v>
      </c>
      <c r="F28" s="3" t="s">
        <v>60</v>
      </c>
      <c r="G28" s="21" t="s">
        <v>61</v>
      </c>
      <c r="H28" s="21" t="s">
        <v>31</v>
      </c>
      <c r="I28" s="22">
        <v>1771500000</v>
      </c>
      <c r="J28" s="21">
        <v>1771500000</v>
      </c>
      <c r="K28" s="21" t="s">
        <v>26</v>
      </c>
      <c r="L28" s="21"/>
      <c r="M28" s="21" t="b">
        <v>1</v>
      </c>
      <c r="N28" s="21">
        <v>4</v>
      </c>
      <c r="O28" s="27">
        <v>1289654122.5</v>
      </c>
      <c r="P28" s="21" t="s">
        <v>24</v>
      </c>
      <c r="Q28" s="21" t="s">
        <v>25</v>
      </c>
      <c r="R28" s="23">
        <v>1771500000</v>
      </c>
      <c r="S28" s="23" t="e" cm="1">
        <f t="array" aca="1" ref="S28" ca="1">Table1[[#This Row],[Nominal TRY]]*_xlfn.XLOOKUP(Table1[[#This Row],[Year]],Table2[[#All],[Year]],Table2[[#All],[Deflator to 2023]])</f>
        <v>#NAME?</v>
      </c>
      <c r="T28" s="24" t="e" cm="1">
        <f t="array" aca="1" ref="T28" ca="1">Table1[[#This Row],[Nominal TRY]]/_xlfn.XLOOKUP(Table1[[#This Row],[Year]],Table3[[#All],[Year]],Table3[[#All],[Rate]])</f>
        <v>#NAME?</v>
      </c>
    </row>
    <row r="29" spans="1:20">
      <c r="A29" s="21">
        <v>2023</v>
      </c>
      <c r="B29" s="21">
        <v>2020</v>
      </c>
      <c r="C29" s="21" t="s">
        <v>17</v>
      </c>
      <c r="D29" s="21" t="s">
        <v>18</v>
      </c>
      <c r="E29" s="21" t="s">
        <v>59</v>
      </c>
      <c r="F29" s="3" t="s">
        <v>60</v>
      </c>
      <c r="G29" s="21" t="s">
        <v>61</v>
      </c>
      <c r="H29" s="21" t="s">
        <v>31</v>
      </c>
      <c r="I29" s="22">
        <v>703716490</v>
      </c>
      <c r="J29" s="21">
        <v>703716490</v>
      </c>
      <c r="K29" s="21" t="s">
        <v>26</v>
      </c>
      <c r="L29" s="21">
        <v>-60.275670900366897</v>
      </c>
      <c r="M29" s="21" t="b">
        <v>1</v>
      </c>
      <c r="N29" s="21">
        <v>4</v>
      </c>
      <c r="O29" s="27">
        <v>1289654122.5</v>
      </c>
      <c r="P29" s="21" t="s">
        <v>24</v>
      </c>
      <c r="Q29" s="21" t="s">
        <v>25</v>
      </c>
      <c r="R29" s="23">
        <v>703716490</v>
      </c>
      <c r="S29" s="23" t="e" cm="1">
        <f t="array" aca="1" ref="S29" ca="1">Table1[[#This Row],[Nominal TRY]]*_xlfn.XLOOKUP(Table1[[#This Row],[Year]],Table2[[#All],[Year]],Table2[[#All],[Deflator to 2023]])</f>
        <v>#NAME?</v>
      </c>
      <c r="T29" s="24" t="e" cm="1">
        <f t="array" aca="1" ref="T29" ca="1">Table1[[#This Row],[Nominal TRY]]/_xlfn.XLOOKUP(Table1[[#This Row],[Year]],Table3[[#All],[Year]],Table3[[#All],[Rate]])</f>
        <v>#NAME?</v>
      </c>
    </row>
    <row r="30" spans="1:20">
      <c r="A30" s="21">
        <v>2020</v>
      </c>
      <c r="B30" s="21">
        <v>2020</v>
      </c>
      <c r="C30" s="21" t="s">
        <v>17</v>
      </c>
      <c r="D30" s="21" t="s">
        <v>18</v>
      </c>
      <c r="E30" s="21" t="s">
        <v>59</v>
      </c>
      <c r="F30" s="3" t="s">
        <v>60</v>
      </c>
      <c r="G30" s="21" t="s">
        <v>61</v>
      </c>
      <c r="H30" s="21" t="s">
        <v>31</v>
      </c>
      <c r="I30" s="22">
        <v>1215000000</v>
      </c>
      <c r="J30" s="21">
        <v>1215000000</v>
      </c>
      <c r="K30" s="21" t="s">
        <v>26</v>
      </c>
      <c r="L30" s="25">
        <v>72.654757599896499</v>
      </c>
      <c r="M30" s="21" t="b">
        <v>1</v>
      </c>
      <c r="N30" s="21">
        <v>4</v>
      </c>
      <c r="O30" s="27">
        <v>1289654122.5</v>
      </c>
      <c r="P30" s="21" t="s">
        <v>24</v>
      </c>
      <c r="Q30" s="21" t="s">
        <v>25</v>
      </c>
      <c r="R30" s="23">
        <v>1215000000</v>
      </c>
      <c r="S30" s="23" t="e" cm="1">
        <f t="array" aca="1" ref="S30" ca="1">Table1[[#This Row],[Nominal TRY]]*_xlfn.XLOOKUP(Table1[[#This Row],[Year]],Table2[[#All],[Year]],Table2[[#All],[Deflator to 2023]])</f>
        <v>#NAME?</v>
      </c>
      <c r="T30" s="24" t="e" cm="1">
        <f t="array" aca="1" ref="T30" ca="1">Table1[[#This Row],[Nominal TRY]]/_xlfn.XLOOKUP(Table1[[#This Row],[Year]],Table3[[#All],[Year]],Table3[[#All],[Rate]])</f>
        <v>#NAME?</v>
      </c>
    </row>
    <row r="31" spans="1:20">
      <c r="A31" s="21">
        <v>2022</v>
      </c>
      <c r="B31" s="21">
        <v>2020</v>
      </c>
      <c r="C31" s="21" t="s">
        <v>17</v>
      </c>
      <c r="D31" s="21" t="s">
        <v>18</v>
      </c>
      <c r="E31" s="21" t="s">
        <v>56</v>
      </c>
      <c r="F31" s="3" t="s">
        <v>57</v>
      </c>
      <c r="G31" s="21" t="s">
        <v>21</v>
      </c>
      <c r="H31" s="21" t="s">
        <v>22</v>
      </c>
      <c r="I31" s="22">
        <v>2518340</v>
      </c>
      <c r="J31" s="21">
        <v>2518340</v>
      </c>
      <c r="K31" s="21" t="s">
        <v>23</v>
      </c>
      <c r="L31" s="25">
        <v>29.985346363146899</v>
      </c>
      <c r="M31" s="21" t="b">
        <v>1</v>
      </c>
      <c r="N31" s="21">
        <v>4</v>
      </c>
      <c r="O31" s="27">
        <v>190634414.125</v>
      </c>
      <c r="P31" s="21" t="s">
        <v>24</v>
      </c>
      <c r="Q31" s="21" t="s">
        <v>25</v>
      </c>
      <c r="R31" s="23">
        <v>2518340</v>
      </c>
      <c r="S31" s="23" t="e" cm="1">
        <f t="array" aca="1" ref="S31" ca="1">Table1[[#This Row],[Nominal TRY]]*_xlfn.XLOOKUP(Table1[[#This Row],[Year]],Table2[[#All],[Year]],Table2[[#All],[Deflator to 2023]])</f>
        <v>#NAME?</v>
      </c>
      <c r="T31" s="24" t="e" cm="1">
        <f t="array" aca="1" ref="T31" ca="1">Table1[[#This Row],[Nominal TRY]]/_xlfn.XLOOKUP(Table1[[#This Row],[Year]],Table3[[#All],[Year]],Table3[[#All],[Rate]])</f>
        <v>#NAME?</v>
      </c>
    </row>
    <row r="32" spans="1:20">
      <c r="A32" s="21">
        <v>2023</v>
      </c>
      <c r="B32" s="21">
        <v>2020</v>
      </c>
      <c r="C32" s="21" t="s">
        <v>17</v>
      </c>
      <c r="D32" s="21" t="s">
        <v>18</v>
      </c>
      <c r="E32" s="21" t="s">
        <v>56</v>
      </c>
      <c r="F32" s="3" t="s">
        <v>57</v>
      </c>
      <c r="G32" s="21" t="s">
        <v>21</v>
      </c>
      <c r="H32" s="21" t="s">
        <v>22</v>
      </c>
      <c r="I32" s="22">
        <v>703716490</v>
      </c>
      <c r="J32" s="21">
        <v>703716490</v>
      </c>
      <c r="K32" s="21" t="s">
        <v>26</v>
      </c>
      <c r="L32" s="25">
        <v>27843.664874480801</v>
      </c>
      <c r="M32" s="21" t="b">
        <v>1</v>
      </c>
      <c r="N32" s="21">
        <v>4</v>
      </c>
      <c r="O32" s="27">
        <v>190634414.125</v>
      </c>
      <c r="P32" s="21" t="s">
        <v>24</v>
      </c>
      <c r="Q32" s="21" t="s">
        <v>25</v>
      </c>
      <c r="R32" s="23">
        <v>703716490</v>
      </c>
      <c r="S32" s="23" t="e" cm="1">
        <f t="array" aca="1" ref="S32" ca="1">Table1[[#This Row],[Nominal TRY]]*_xlfn.XLOOKUP(Table1[[#This Row],[Year]],Table2[[#All],[Year]],Table2[[#All],[Deflator to 2023]])</f>
        <v>#NAME?</v>
      </c>
      <c r="T32" s="24" t="e" cm="1">
        <f t="array" aca="1" ref="T32" ca="1">Table1[[#This Row],[Nominal TRY]]/_xlfn.XLOOKUP(Table1[[#This Row],[Year]],Table3[[#All],[Year]],Table3[[#All],[Rate]])</f>
        <v>#NAME?</v>
      </c>
    </row>
    <row r="33" spans="1:20">
      <c r="A33" s="21">
        <v>2020</v>
      </c>
      <c r="B33" s="21">
        <v>2020</v>
      </c>
      <c r="C33" s="21" t="s">
        <v>17</v>
      </c>
      <c r="D33" s="21" t="s">
        <v>18</v>
      </c>
      <c r="E33" s="21" t="s">
        <v>56</v>
      </c>
      <c r="F33" s="3" t="s">
        <v>57</v>
      </c>
      <c r="G33" s="21" t="s">
        <v>21</v>
      </c>
      <c r="H33" s="21" t="s">
        <v>22</v>
      </c>
      <c r="I33" s="22">
        <v>5961462</v>
      </c>
      <c r="J33" s="21">
        <v>5961462</v>
      </c>
      <c r="K33" s="21" t="s">
        <v>23</v>
      </c>
      <c r="L33" s="21">
        <v>-99.152860266213096</v>
      </c>
      <c r="M33" s="21" t="b">
        <v>1</v>
      </c>
      <c r="N33" s="21">
        <v>4</v>
      </c>
      <c r="O33" s="27">
        <v>190634414.125</v>
      </c>
      <c r="P33" s="21" t="s">
        <v>24</v>
      </c>
      <c r="Q33" s="21" t="s">
        <v>25</v>
      </c>
      <c r="R33" s="23">
        <v>5961462</v>
      </c>
      <c r="S33" s="23" t="e" cm="1">
        <f t="array" aca="1" ref="S33" ca="1">Table1[[#This Row],[Nominal TRY]]*_xlfn.XLOOKUP(Table1[[#This Row],[Year]],Table2[[#All],[Year]],Table2[[#All],[Deflator to 2023]])</f>
        <v>#NAME?</v>
      </c>
      <c r="T33" s="24" t="e" cm="1">
        <f t="array" aca="1" ref="T33" ca="1">Table1[[#This Row],[Nominal TRY]]/_xlfn.XLOOKUP(Table1[[#This Row],[Year]],Table3[[#All],[Year]],Table3[[#All],[Rate]])</f>
        <v>#NAME?</v>
      </c>
    </row>
    <row r="34" spans="1:20">
      <c r="A34" s="21">
        <v>2022</v>
      </c>
      <c r="B34" s="21">
        <v>2020</v>
      </c>
      <c r="C34" s="21" t="s">
        <v>17</v>
      </c>
      <c r="D34" s="21" t="s">
        <v>18</v>
      </c>
      <c r="E34" s="21" t="s">
        <v>65</v>
      </c>
      <c r="F34" s="3" t="s">
        <v>66</v>
      </c>
      <c r="G34" s="21" t="s">
        <v>30</v>
      </c>
      <c r="H34" s="21" t="s">
        <v>22</v>
      </c>
      <c r="I34" s="22">
        <v>809745495</v>
      </c>
      <c r="J34" s="21">
        <v>809745495</v>
      </c>
      <c r="K34" s="21" t="s">
        <v>26</v>
      </c>
      <c r="L34" s="21"/>
      <c r="M34" s="21" t="b">
        <v>1</v>
      </c>
      <c r="N34" s="21">
        <v>4</v>
      </c>
      <c r="O34" s="27">
        <v>2742906750</v>
      </c>
      <c r="P34" s="21" t="s">
        <v>24</v>
      </c>
      <c r="Q34" s="21" t="s">
        <v>25</v>
      </c>
      <c r="R34" s="23">
        <v>809745495</v>
      </c>
      <c r="S34" s="23" t="e" cm="1">
        <f t="array" aca="1" ref="S34" ca="1">Table1[[#This Row],[Nominal TRY]]*_xlfn.XLOOKUP(Table1[[#This Row],[Year]],Table2[[#All],[Year]],Table2[[#All],[Deflator to 2023]])</f>
        <v>#NAME?</v>
      </c>
      <c r="T34" s="24" t="e" cm="1">
        <f t="array" aca="1" ref="T34" ca="1">Table1[[#This Row],[Nominal TRY]]/_xlfn.XLOOKUP(Table1[[#This Row],[Year]],Table3[[#All],[Year]],Table3[[#All],[Rate]])</f>
        <v>#NAME?</v>
      </c>
    </row>
    <row r="35" spans="1:20">
      <c r="A35" s="21">
        <v>2023</v>
      </c>
      <c r="B35" s="21">
        <v>2020</v>
      </c>
      <c r="C35" s="21" t="s">
        <v>17</v>
      </c>
      <c r="D35" s="21" t="s">
        <v>18</v>
      </c>
      <c r="E35" s="21" t="s">
        <v>65</v>
      </c>
      <c r="F35" s="3" t="s">
        <v>66</v>
      </c>
      <c r="G35" s="21" t="s">
        <v>30</v>
      </c>
      <c r="H35" s="21" t="s">
        <v>22</v>
      </c>
      <c r="I35" s="22">
        <v>754824605</v>
      </c>
      <c r="J35" s="21">
        <v>754824605</v>
      </c>
      <c r="K35" s="21" t="s">
        <v>26</v>
      </c>
      <c r="L35" s="21">
        <v>-6.7824878729334603</v>
      </c>
      <c r="M35" s="21" t="b">
        <v>1</v>
      </c>
      <c r="N35" s="21">
        <v>4</v>
      </c>
      <c r="O35" s="27">
        <v>2742906750</v>
      </c>
      <c r="P35" s="21" t="s">
        <v>24</v>
      </c>
      <c r="Q35" s="21" t="s">
        <v>25</v>
      </c>
      <c r="R35" s="23">
        <v>754824605</v>
      </c>
      <c r="S35" s="23" t="e" cm="1">
        <f t="array" aca="1" ref="S35" ca="1">Table1[[#This Row],[Nominal TRY]]*_xlfn.XLOOKUP(Table1[[#This Row],[Year]],Table2[[#All],[Year]],Table2[[#All],[Deflator to 2023]])</f>
        <v>#NAME?</v>
      </c>
      <c r="T35" s="24" t="e" cm="1">
        <f t="array" aca="1" ref="T35" ca="1">Table1[[#This Row],[Nominal TRY]]/_xlfn.XLOOKUP(Table1[[#This Row],[Year]],Table3[[#All],[Year]],Table3[[#All],[Rate]])</f>
        <v>#NAME?</v>
      </c>
    </row>
    <row r="36" spans="1:20">
      <c r="A36" s="21">
        <v>2020</v>
      </c>
      <c r="B36" s="21">
        <v>2020</v>
      </c>
      <c r="C36" s="21" t="s">
        <v>17</v>
      </c>
      <c r="D36" s="21" t="s">
        <v>18</v>
      </c>
      <c r="E36" s="21" t="s">
        <v>65</v>
      </c>
      <c r="F36" s="3" t="s">
        <v>66</v>
      </c>
      <c r="G36" s="21" t="s">
        <v>30</v>
      </c>
      <c r="H36" s="21" t="s">
        <v>22</v>
      </c>
      <c r="I36" s="22">
        <v>73988630</v>
      </c>
      <c r="J36" s="21">
        <v>73988630</v>
      </c>
      <c r="K36" s="21" t="s">
        <v>23</v>
      </c>
      <c r="L36" s="21">
        <v>-90.197904319772405</v>
      </c>
      <c r="M36" s="21" t="b">
        <v>1</v>
      </c>
      <c r="N36" s="21">
        <v>4</v>
      </c>
      <c r="O36" s="27">
        <v>2742906750</v>
      </c>
      <c r="P36" s="21" t="s">
        <v>24</v>
      </c>
      <c r="Q36" s="21" t="s">
        <v>25</v>
      </c>
      <c r="R36" s="23">
        <v>73988630</v>
      </c>
      <c r="S36" s="23" t="e" cm="1">
        <f t="array" aca="1" ref="S36" ca="1">Table1[[#This Row],[Nominal TRY]]*_xlfn.XLOOKUP(Table1[[#This Row],[Year]],Table2[[#All],[Year]],Table2[[#All],[Deflator to 2023]])</f>
        <v>#NAME?</v>
      </c>
      <c r="T36" s="24" t="e" cm="1">
        <f t="array" aca="1" ref="T36" ca="1">Table1[[#This Row],[Nominal TRY]]/_xlfn.XLOOKUP(Table1[[#This Row],[Year]],Table3[[#All],[Year]],Table3[[#All],[Rate]])</f>
        <v>#NAME?</v>
      </c>
    </row>
    <row r="37" spans="1:20">
      <c r="A37" s="21">
        <v>2022</v>
      </c>
      <c r="B37" s="21">
        <v>2020</v>
      </c>
      <c r="C37" s="21" t="s">
        <v>17</v>
      </c>
      <c r="D37" s="21" t="s">
        <v>18</v>
      </c>
      <c r="E37" s="21" t="s">
        <v>67</v>
      </c>
      <c r="F37" s="3" t="s">
        <v>68</v>
      </c>
      <c r="G37" s="21" t="s">
        <v>61</v>
      </c>
      <c r="H37" s="21" t="s">
        <v>31</v>
      </c>
      <c r="I37" s="22">
        <v>703716490</v>
      </c>
      <c r="J37" s="21">
        <v>703716490</v>
      </c>
      <c r="K37" s="21" t="s">
        <v>26</v>
      </c>
      <c r="L37" s="21"/>
      <c r="M37" s="21" t="b">
        <v>1</v>
      </c>
      <c r="N37" s="21">
        <v>4</v>
      </c>
      <c r="O37" s="27">
        <v>703716490</v>
      </c>
      <c r="P37" s="21" t="s">
        <v>41</v>
      </c>
      <c r="Q37" s="21" t="s">
        <v>25</v>
      </c>
      <c r="R37" s="23">
        <v>703716490</v>
      </c>
      <c r="S37" s="23" t="e" cm="1">
        <f t="array" aca="1" ref="S37" ca="1">Table1[[#This Row],[Nominal TRY]]*_xlfn.XLOOKUP(Table1[[#This Row],[Year]],Table2[[#All],[Year]],Table2[[#All],[Deflator to 2023]])</f>
        <v>#NAME?</v>
      </c>
      <c r="T37" s="24" t="e" cm="1">
        <f t="array" aca="1" ref="T37" ca="1">Table1[[#This Row],[Nominal TRY]]/_xlfn.XLOOKUP(Table1[[#This Row],[Year]],Table3[[#All],[Year]],Table3[[#All],[Rate]])</f>
        <v>#NAME?</v>
      </c>
    </row>
    <row r="38" spans="1:20">
      <c r="A38" s="21">
        <v>2023</v>
      </c>
      <c r="B38" s="21">
        <v>2020</v>
      </c>
      <c r="C38" s="21" t="s">
        <v>17</v>
      </c>
      <c r="D38" s="21" t="s">
        <v>18</v>
      </c>
      <c r="E38" s="21" t="s">
        <v>67</v>
      </c>
      <c r="F38" s="3" t="s">
        <v>68</v>
      </c>
      <c r="G38" s="21" t="s">
        <v>61</v>
      </c>
      <c r="H38" s="21" t="s">
        <v>31</v>
      </c>
      <c r="I38" s="22">
        <v>703716490</v>
      </c>
      <c r="J38" s="21">
        <v>703716490</v>
      </c>
      <c r="K38" s="21" t="s">
        <v>26</v>
      </c>
      <c r="L38" s="21"/>
      <c r="M38" s="21" t="b">
        <v>1</v>
      </c>
      <c r="N38" s="21">
        <v>4</v>
      </c>
      <c r="O38" s="27">
        <v>703716490</v>
      </c>
      <c r="P38" s="21" t="s">
        <v>41</v>
      </c>
      <c r="Q38" s="21" t="s">
        <v>25</v>
      </c>
      <c r="R38" s="23">
        <v>703716490</v>
      </c>
      <c r="S38" s="23" t="e" cm="1">
        <f t="array" aca="1" ref="S38" ca="1">Table1[[#This Row],[Nominal TRY]]*_xlfn.XLOOKUP(Table1[[#This Row],[Year]],Table2[[#All],[Year]],Table2[[#All],[Deflator to 2023]])</f>
        <v>#NAME?</v>
      </c>
      <c r="T38" s="24" t="e" cm="1">
        <f t="array" aca="1" ref="T38" ca="1">Table1[[#This Row],[Nominal TRY]]/_xlfn.XLOOKUP(Table1[[#This Row],[Year]],Table3[[#All],[Year]],Table3[[#All],[Rate]])</f>
        <v>#NAME?</v>
      </c>
    </row>
    <row r="39" spans="1:20">
      <c r="A39" s="21">
        <v>2020</v>
      </c>
      <c r="B39" s="21">
        <v>2020</v>
      </c>
      <c r="C39" s="21" t="s">
        <v>17</v>
      </c>
      <c r="D39" s="21" t="s">
        <v>18</v>
      </c>
      <c r="E39" s="21" t="s">
        <v>67</v>
      </c>
      <c r="F39" s="3" t="s">
        <v>68</v>
      </c>
      <c r="G39" s="21" t="s">
        <v>61</v>
      </c>
      <c r="H39" s="21" t="s">
        <v>31</v>
      </c>
      <c r="I39" s="22">
        <v>703716490</v>
      </c>
      <c r="J39" s="21">
        <v>703716490</v>
      </c>
      <c r="K39" s="21" t="s">
        <v>26</v>
      </c>
      <c r="L39" s="21"/>
      <c r="M39" s="21" t="b">
        <v>1</v>
      </c>
      <c r="N39" s="21">
        <v>4</v>
      </c>
      <c r="O39" s="27">
        <v>703716490</v>
      </c>
      <c r="P39" s="21" t="s">
        <v>41</v>
      </c>
      <c r="Q39" s="21" t="s">
        <v>25</v>
      </c>
      <c r="R39" s="23">
        <v>703716490</v>
      </c>
      <c r="S39" s="23" t="e" cm="1">
        <f t="array" aca="1" ref="S39" ca="1">Table1[[#This Row],[Nominal TRY]]*_xlfn.XLOOKUP(Table1[[#This Row],[Year]],Table2[[#All],[Year]],Table2[[#All],[Deflator to 2023]])</f>
        <v>#NAME?</v>
      </c>
      <c r="T39" s="24" t="e" cm="1">
        <f t="array" aca="1" ref="T39" ca="1">Table1[[#This Row],[Nominal TRY]]/_xlfn.XLOOKUP(Table1[[#This Row],[Year]],Table3[[#All],[Year]],Table3[[#All],[Rate]])</f>
        <v>#NAME?</v>
      </c>
    </row>
    <row r="40" spans="1:20">
      <c r="A40" s="21">
        <v>2022</v>
      </c>
      <c r="B40" s="21">
        <v>2020</v>
      </c>
      <c r="C40" s="21" t="s">
        <v>17</v>
      </c>
      <c r="D40" s="21" t="s">
        <v>18</v>
      </c>
      <c r="E40" s="21" t="s">
        <v>69</v>
      </c>
      <c r="F40" s="3" t="s">
        <v>70</v>
      </c>
      <c r="G40" s="21" t="s">
        <v>21</v>
      </c>
      <c r="H40" s="21" t="s">
        <v>22</v>
      </c>
      <c r="I40" s="22">
        <v>703716490</v>
      </c>
      <c r="J40" s="21">
        <v>703716490</v>
      </c>
      <c r="K40" s="21" t="s">
        <v>26</v>
      </c>
      <c r="L40" s="21"/>
      <c r="M40" s="21" t="b">
        <v>1</v>
      </c>
      <c r="N40" s="21">
        <v>4</v>
      </c>
      <c r="O40" s="27">
        <v>703716490</v>
      </c>
      <c r="P40" s="21" t="s">
        <v>41</v>
      </c>
      <c r="Q40" s="21" t="s">
        <v>25</v>
      </c>
      <c r="R40" s="23">
        <v>703716490</v>
      </c>
      <c r="S40" s="23" t="e" cm="1">
        <f t="array" aca="1" ref="S40" ca="1">Table1[[#This Row],[Nominal TRY]]*_xlfn.XLOOKUP(Table1[[#This Row],[Year]],Table2[[#All],[Year]],Table2[[#All],[Deflator to 2023]])</f>
        <v>#NAME?</v>
      </c>
      <c r="T40" s="24" t="e" cm="1">
        <f t="array" aca="1" ref="T40" ca="1">Table1[[#This Row],[Nominal TRY]]/_xlfn.XLOOKUP(Table1[[#This Row],[Year]],Table3[[#All],[Year]],Table3[[#All],[Rate]])</f>
        <v>#NAME?</v>
      </c>
    </row>
    <row r="41" spans="1:20">
      <c r="A41" s="21">
        <v>2023</v>
      </c>
      <c r="B41" s="21">
        <v>2020</v>
      </c>
      <c r="C41" s="21" t="s">
        <v>17</v>
      </c>
      <c r="D41" s="21" t="s">
        <v>18</v>
      </c>
      <c r="E41" s="21" t="s">
        <v>69</v>
      </c>
      <c r="F41" s="3" t="s">
        <v>70</v>
      </c>
      <c r="G41" s="21" t="s">
        <v>21</v>
      </c>
      <c r="H41" s="21" t="s">
        <v>22</v>
      </c>
      <c r="I41" s="22">
        <v>703716490</v>
      </c>
      <c r="J41" s="21">
        <v>703716490</v>
      </c>
      <c r="K41" s="21" t="s">
        <v>26</v>
      </c>
      <c r="L41" s="21"/>
      <c r="M41" s="21" t="b">
        <v>1</v>
      </c>
      <c r="N41" s="21">
        <v>4</v>
      </c>
      <c r="O41" s="27">
        <v>703716490</v>
      </c>
      <c r="P41" s="21" t="s">
        <v>41</v>
      </c>
      <c r="Q41" s="21" t="s">
        <v>25</v>
      </c>
      <c r="R41" s="23">
        <v>703716490</v>
      </c>
      <c r="S41" s="23" t="e" cm="1">
        <f t="array" aca="1" ref="S41" ca="1">Table1[[#This Row],[Nominal TRY]]*_xlfn.XLOOKUP(Table1[[#This Row],[Year]],Table2[[#All],[Year]],Table2[[#All],[Deflator to 2023]])</f>
        <v>#NAME?</v>
      </c>
      <c r="T41" s="24" t="e" cm="1">
        <f t="array" aca="1" ref="T41" ca="1">Table1[[#This Row],[Nominal TRY]]/_xlfn.XLOOKUP(Table1[[#This Row],[Year]],Table3[[#All],[Year]],Table3[[#All],[Rate]])</f>
        <v>#NAME?</v>
      </c>
    </row>
    <row r="42" spans="1:20">
      <c r="A42" s="21">
        <v>2020</v>
      </c>
      <c r="B42" s="21">
        <v>2020</v>
      </c>
      <c r="C42" s="21" t="s">
        <v>17</v>
      </c>
      <c r="D42" s="21" t="s">
        <v>18</v>
      </c>
      <c r="E42" s="21" t="s">
        <v>69</v>
      </c>
      <c r="F42" s="3" t="s">
        <v>70</v>
      </c>
      <c r="G42" s="21" t="s">
        <v>21</v>
      </c>
      <c r="H42" s="21" t="s">
        <v>22</v>
      </c>
      <c r="I42" s="22">
        <v>703716490</v>
      </c>
      <c r="J42" s="21">
        <v>703716490</v>
      </c>
      <c r="K42" s="21" t="s">
        <v>26</v>
      </c>
      <c r="L42" s="21"/>
      <c r="M42" s="21" t="b">
        <v>1</v>
      </c>
      <c r="N42" s="21">
        <v>4</v>
      </c>
      <c r="O42" s="27">
        <v>703716490</v>
      </c>
      <c r="P42" s="21" t="s">
        <v>41</v>
      </c>
      <c r="Q42" s="21" t="s">
        <v>25</v>
      </c>
      <c r="R42" s="23">
        <v>703716490</v>
      </c>
      <c r="S42" s="23" t="e" cm="1">
        <f t="array" aca="1" ref="S42" ca="1">Table1[[#This Row],[Nominal TRY]]*_xlfn.XLOOKUP(Table1[[#This Row],[Year]],Table2[[#All],[Year]],Table2[[#All],[Deflator to 2023]])</f>
        <v>#NAME?</v>
      </c>
      <c r="T42" s="24" t="e" cm="1">
        <f t="array" aca="1" ref="T42" ca="1">Table1[[#This Row],[Nominal TRY]]/_xlfn.XLOOKUP(Table1[[#This Row],[Year]],Table3[[#All],[Year]],Table3[[#All],[Rate]])</f>
        <v>#NAME?</v>
      </c>
    </row>
    <row r="43" spans="1:20">
      <c r="A43" s="21">
        <v>2023</v>
      </c>
      <c r="B43" s="21">
        <v>2020</v>
      </c>
      <c r="C43" s="21" t="s">
        <v>17</v>
      </c>
      <c r="D43" s="21" t="s">
        <v>18</v>
      </c>
      <c r="E43" s="21" t="s">
        <v>34</v>
      </c>
      <c r="F43" s="3" t="s">
        <v>35</v>
      </c>
      <c r="G43" s="21" t="s">
        <v>21</v>
      </c>
      <c r="H43" s="21" t="s">
        <v>22</v>
      </c>
      <c r="I43" s="22">
        <v>157924</v>
      </c>
      <c r="J43" s="21">
        <v>157924</v>
      </c>
      <c r="K43" s="21" t="s">
        <v>32</v>
      </c>
      <c r="L43" s="21">
        <v>-7.7444342538015301</v>
      </c>
      <c r="M43" s="21" t="b">
        <v>1</v>
      </c>
      <c r="N43" s="21">
        <v>4</v>
      </c>
      <c r="O43" s="27">
        <v>153547.625</v>
      </c>
      <c r="P43" s="21" t="s">
        <v>36</v>
      </c>
      <c r="Q43" s="21" t="s">
        <v>25</v>
      </c>
      <c r="R43" s="23">
        <v>157924</v>
      </c>
      <c r="S43" s="23" t="e" cm="1">
        <f t="array" aca="1" ref="S43" ca="1">Table1[[#This Row],[Nominal TRY]]*_xlfn.XLOOKUP(Table1[[#This Row],[Year]],Table2[[#All],[Year]],Table2[[#All],[Deflator to 2023]])</f>
        <v>#NAME?</v>
      </c>
      <c r="T43" s="24" t="e" cm="1">
        <f t="array" aca="1" ref="T43" ca="1">Table1[[#This Row],[Nominal TRY]]/_xlfn.XLOOKUP(Table1[[#This Row],[Year]],Table3[[#All],[Year]],Table3[[#All],[Rate]])</f>
        <v>#NAME?</v>
      </c>
    </row>
    <row r="44" spans="1:20">
      <c r="A44" s="21">
        <v>2022</v>
      </c>
      <c r="B44" s="21">
        <v>2020</v>
      </c>
      <c r="C44" s="21" t="s">
        <v>17</v>
      </c>
      <c r="D44" s="21" t="s">
        <v>18</v>
      </c>
      <c r="E44" s="21" t="s">
        <v>44</v>
      </c>
      <c r="F44" s="3" t="s">
        <v>45</v>
      </c>
      <c r="G44" s="21" t="s">
        <v>40</v>
      </c>
      <c r="H44" s="21" t="s">
        <v>22</v>
      </c>
      <c r="I44" s="22">
        <v>557796000</v>
      </c>
      <c r="J44" s="21">
        <v>557796000</v>
      </c>
      <c r="K44" s="21" t="s">
        <v>26</v>
      </c>
      <c r="L44" s="21">
        <v>-11.936634338643801</v>
      </c>
      <c r="M44" s="21" t="b">
        <v>1</v>
      </c>
      <c r="N44" s="21">
        <v>4</v>
      </c>
      <c r="O44" s="27">
        <v>769230750</v>
      </c>
      <c r="P44" s="21" t="s">
        <v>36</v>
      </c>
      <c r="Q44" s="21" t="s">
        <v>25</v>
      </c>
      <c r="R44" s="23">
        <v>557796000</v>
      </c>
      <c r="S44" s="23" t="e" cm="1">
        <f t="array" aca="1" ref="S44" ca="1">Table1[[#This Row],[Nominal TRY]]*_xlfn.XLOOKUP(Table1[[#This Row],[Year]],Table2[[#All],[Year]],Table2[[#All],[Deflator to 2023]])</f>
        <v>#NAME?</v>
      </c>
      <c r="T44" s="24" t="e" cm="1">
        <f t="array" aca="1" ref="T44" ca="1">Table1[[#This Row],[Nominal TRY]]/_xlfn.XLOOKUP(Table1[[#This Row],[Year]],Table3[[#All],[Year]],Table3[[#All],[Rate]])</f>
        <v>#NAME?</v>
      </c>
    </row>
    <row r="45" spans="1:20">
      <c r="A45" s="21">
        <v>2022</v>
      </c>
      <c r="B45" s="21">
        <v>2020</v>
      </c>
      <c r="C45" s="21" t="s">
        <v>17</v>
      </c>
      <c r="D45" s="21" t="s">
        <v>18</v>
      </c>
      <c r="E45" s="21" t="s">
        <v>71</v>
      </c>
      <c r="F45" s="3" t="s">
        <v>72</v>
      </c>
      <c r="G45" s="21" t="s">
        <v>21</v>
      </c>
      <c r="H45" s="21" t="s">
        <v>22</v>
      </c>
      <c r="I45" s="22">
        <v>79051739</v>
      </c>
      <c r="J45" s="21">
        <v>79051739</v>
      </c>
      <c r="K45" s="21" t="s">
        <v>23</v>
      </c>
      <c r="L45" s="21"/>
      <c r="M45" s="21" t="b">
        <v>1</v>
      </c>
      <c r="N45" s="21">
        <v>4</v>
      </c>
      <c r="O45" s="27">
        <v>140908336.375</v>
      </c>
      <c r="P45" s="21" t="s">
        <v>24</v>
      </c>
      <c r="Q45" s="21" t="s">
        <v>25</v>
      </c>
      <c r="R45" s="23">
        <v>79051739</v>
      </c>
      <c r="S45" s="23" t="e" cm="1">
        <f t="array" aca="1" ref="S45" ca="1">Table1[[#This Row],[Nominal TRY]]*_xlfn.XLOOKUP(Table1[[#This Row],[Year]],Table2[[#All],[Year]],Table2[[#All],[Deflator to 2023]])</f>
        <v>#NAME?</v>
      </c>
      <c r="T45" s="24" t="e" cm="1">
        <f t="array" aca="1" ref="T45" ca="1">Table1[[#This Row],[Nominal TRY]]/_xlfn.XLOOKUP(Table1[[#This Row],[Year]],Table3[[#All],[Year]],Table3[[#All],[Rate]])</f>
        <v>#NAME?</v>
      </c>
    </row>
    <row r="46" spans="1:20">
      <c r="A46" s="21">
        <v>2023</v>
      </c>
      <c r="B46" s="21">
        <v>2020</v>
      </c>
      <c r="C46" s="21" t="s">
        <v>17</v>
      </c>
      <c r="D46" s="21" t="s">
        <v>18</v>
      </c>
      <c r="E46" s="21" t="s">
        <v>71</v>
      </c>
      <c r="F46" s="3" t="s">
        <v>72</v>
      </c>
      <c r="G46" s="21" t="s">
        <v>21</v>
      </c>
      <c r="H46" s="21" t="s">
        <v>22</v>
      </c>
      <c r="I46" s="22">
        <v>703716490</v>
      </c>
      <c r="J46" s="21">
        <v>703716490</v>
      </c>
      <c r="K46" s="21" t="s">
        <v>26</v>
      </c>
      <c r="L46" s="25">
        <v>790.19735543072602</v>
      </c>
      <c r="M46" s="21" t="b">
        <v>1</v>
      </c>
      <c r="N46" s="21">
        <v>4</v>
      </c>
      <c r="O46" s="27">
        <v>140908336.375</v>
      </c>
      <c r="P46" s="21" t="s">
        <v>24</v>
      </c>
      <c r="Q46" s="21" t="s">
        <v>25</v>
      </c>
      <c r="R46" s="23">
        <v>703716490</v>
      </c>
      <c r="S46" s="23" t="e" cm="1">
        <f t="array" aca="1" ref="S46" ca="1">Table1[[#This Row],[Nominal TRY]]*_xlfn.XLOOKUP(Table1[[#This Row],[Year]],Table2[[#All],[Year]],Table2[[#All],[Deflator to 2023]])</f>
        <v>#NAME?</v>
      </c>
      <c r="T46" s="24" t="e" cm="1">
        <f t="array" aca="1" ref="T46" ca="1">Table1[[#This Row],[Nominal TRY]]/_xlfn.XLOOKUP(Table1[[#This Row],[Year]],Table3[[#All],[Year]],Table3[[#All],[Rate]])</f>
        <v>#NAME?</v>
      </c>
    </row>
    <row r="47" spans="1:20">
      <c r="A47" s="21">
        <v>2020</v>
      </c>
      <c r="B47" s="21">
        <v>2020</v>
      </c>
      <c r="C47" s="21" t="s">
        <v>17</v>
      </c>
      <c r="D47" s="21" t="s">
        <v>18</v>
      </c>
      <c r="E47" s="21" t="s">
        <v>71</v>
      </c>
      <c r="F47" s="3" t="s">
        <v>72</v>
      </c>
      <c r="G47" s="21" t="s">
        <v>21</v>
      </c>
      <c r="H47" s="21" t="s">
        <v>22</v>
      </c>
      <c r="I47" s="22">
        <v>50020000</v>
      </c>
      <c r="J47" s="21">
        <v>50020000</v>
      </c>
      <c r="K47" s="21" t="s">
        <v>23</v>
      </c>
      <c r="L47" s="21">
        <v>-92.892023888767994</v>
      </c>
      <c r="M47" s="21" t="b">
        <v>1</v>
      </c>
      <c r="N47" s="21">
        <v>4</v>
      </c>
      <c r="O47" s="27">
        <v>140908336.375</v>
      </c>
      <c r="P47" s="21" t="s">
        <v>24</v>
      </c>
      <c r="Q47" s="21" t="s">
        <v>25</v>
      </c>
      <c r="R47" s="23">
        <v>50020000</v>
      </c>
      <c r="S47" s="23" t="e" cm="1">
        <f t="array" aca="1" ref="S47" ca="1">Table1[[#This Row],[Nominal TRY]]*_xlfn.XLOOKUP(Table1[[#This Row],[Year]],Table2[[#All],[Year]],Table2[[#All],[Deflator to 2023]])</f>
        <v>#NAME?</v>
      </c>
      <c r="T47" s="24" t="e" cm="1">
        <f t="array" aca="1" ref="T47" ca="1">Table1[[#This Row],[Nominal TRY]]/_xlfn.XLOOKUP(Table1[[#This Row],[Year]],Table3[[#All],[Year]],Table3[[#All],[Rate]])</f>
        <v>#NAME?</v>
      </c>
    </row>
    <row r="48" spans="1:20">
      <c r="A48" s="21">
        <v>2022</v>
      </c>
      <c r="B48" s="21">
        <v>2020</v>
      </c>
      <c r="C48" s="21" t="s">
        <v>17</v>
      </c>
      <c r="D48" s="21" t="s">
        <v>18</v>
      </c>
      <c r="E48" s="21" t="s">
        <v>28</v>
      </c>
      <c r="F48" s="3" t="s">
        <v>29</v>
      </c>
      <c r="G48" s="21" t="s">
        <v>30</v>
      </c>
      <c r="H48" s="21" t="s">
        <v>31</v>
      </c>
      <c r="I48" s="22">
        <v>299410</v>
      </c>
      <c r="J48" s="21">
        <v>299410</v>
      </c>
      <c r="K48" s="21" t="s">
        <v>32</v>
      </c>
      <c r="L48" s="25">
        <v>3332.4200389774101</v>
      </c>
      <c r="M48" s="21" t="b">
        <v>1</v>
      </c>
      <c r="N48" s="21">
        <v>4</v>
      </c>
      <c r="O48" s="28">
        <v>64491.166666666599</v>
      </c>
      <c r="P48" s="21" t="s">
        <v>24</v>
      </c>
      <c r="Q48" s="21" t="s">
        <v>25</v>
      </c>
      <c r="R48" s="23">
        <v>299410</v>
      </c>
      <c r="S48" s="23" t="e" cm="1">
        <f t="array" aca="1" ref="S48" ca="1">Table1[[#This Row],[Nominal TRY]]*_xlfn.XLOOKUP(Table1[[#This Row],[Year]],Table2[[#All],[Year]],Table2[[#All],[Deflator to 2023]])</f>
        <v>#NAME?</v>
      </c>
      <c r="T48" s="24" t="e" cm="1">
        <f t="array" aca="1" ref="T48" ca="1">Table1[[#This Row],[Nominal TRY]]/_xlfn.XLOOKUP(Table1[[#This Row],[Year]],Table3[[#All],[Year]],Table3[[#All],[Rate]])</f>
        <v>#NAME?</v>
      </c>
    </row>
    <row r="49" spans="1:20">
      <c r="A49" s="21">
        <v>2023</v>
      </c>
      <c r="B49" s="21">
        <v>2020</v>
      </c>
      <c r="C49" s="21" t="s">
        <v>17</v>
      </c>
      <c r="D49" s="21" t="s">
        <v>18</v>
      </c>
      <c r="E49" s="21" t="s">
        <v>28</v>
      </c>
      <c r="F49" s="3" t="s">
        <v>29</v>
      </c>
      <c r="G49" s="21" t="s">
        <v>30</v>
      </c>
      <c r="H49" s="21" t="s">
        <v>31</v>
      </c>
      <c r="I49" s="22">
        <v>313526</v>
      </c>
      <c r="J49" s="21">
        <v>313526</v>
      </c>
      <c r="K49" s="21" t="s">
        <v>32</v>
      </c>
      <c r="L49" s="25">
        <v>4.71460539060151</v>
      </c>
      <c r="M49" s="21" t="b">
        <v>1</v>
      </c>
      <c r="N49" s="21">
        <v>4</v>
      </c>
      <c r="O49" s="28">
        <v>64491.166666666599</v>
      </c>
      <c r="P49" s="21" t="s">
        <v>24</v>
      </c>
      <c r="Q49" s="21" t="s">
        <v>25</v>
      </c>
      <c r="R49" s="23">
        <v>313526</v>
      </c>
      <c r="S49" s="23" t="e" cm="1">
        <f t="array" aca="1" ref="S49" ca="1">Table1[[#This Row],[Nominal TRY]]*_xlfn.XLOOKUP(Table1[[#This Row],[Year]],Table2[[#All],[Year]],Table2[[#All],[Deflator to 2023]])</f>
        <v>#NAME?</v>
      </c>
      <c r="T49" s="24" t="e" cm="1">
        <f t="array" aca="1" ref="T49" ca="1">Table1[[#This Row],[Nominal TRY]]/_xlfn.XLOOKUP(Table1[[#This Row],[Year]],Table3[[#All],[Year]],Table3[[#All],[Rate]])</f>
        <v>#NAME?</v>
      </c>
    </row>
    <row r="50" spans="1:20">
      <c r="A50" s="21">
        <v>2020</v>
      </c>
      <c r="B50" s="21">
        <v>2020</v>
      </c>
      <c r="C50" s="21" t="s">
        <v>17</v>
      </c>
      <c r="D50" s="21" t="s">
        <v>18</v>
      </c>
      <c r="E50" s="21" t="s">
        <v>28</v>
      </c>
      <c r="F50" s="3" t="s">
        <v>29</v>
      </c>
      <c r="G50" s="21" t="s">
        <v>30</v>
      </c>
      <c r="H50" s="21" t="s">
        <v>31</v>
      </c>
      <c r="I50" s="22">
        <v>256548</v>
      </c>
      <c r="J50" s="21">
        <v>256548</v>
      </c>
      <c r="K50" s="21" t="s">
        <v>32</v>
      </c>
      <c r="L50" s="21">
        <v>-18.173293442967999</v>
      </c>
      <c r="M50" s="21" t="b">
        <v>1</v>
      </c>
      <c r="N50" s="21">
        <v>4</v>
      </c>
      <c r="O50" s="28">
        <v>64491.166666666599</v>
      </c>
      <c r="P50" s="21" t="s">
        <v>24</v>
      </c>
      <c r="Q50" s="21" t="s">
        <v>25</v>
      </c>
      <c r="R50" s="23">
        <v>256548</v>
      </c>
      <c r="S50" s="23" t="e" cm="1">
        <f t="array" aca="1" ref="S50" ca="1">Table1[[#This Row],[Nominal TRY]]*_xlfn.XLOOKUP(Table1[[#This Row],[Year]],Table2[[#All],[Year]],Table2[[#All],[Deflator to 2023]])</f>
        <v>#NAME?</v>
      </c>
      <c r="T50" s="24" t="e" cm="1">
        <f t="array" aca="1" ref="T50" ca="1">Table1[[#This Row],[Nominal TRY]]/_xlfn.XLOOKUP(Table1[[#This Row],[Year]],Table3[[#All],[Year]],Table3[[#All],[Rate]])</f>
        <v>#NAME?</v>
      </c>
    </row>
    <row r="51" spans="1:20" ht="29">
      <c r="A51" s="21">
        <v>2022</v>
      </c>
      <c r="B51" s="21">
        <v>2020</v>
      </c>
      <c r="C51" s="21" t="s">
        <v>17</v>
      </c>
      <c r="D51" s="21" t="s">
        <v>18</v>
      </c>
      <c r="E51" s="21" t="s">
        <v>42</v>
      </c>
      <c r="F51" s="3" t="s">
        <v>43</v>
      </c>
      <c r="G51" s="21" t="s">
        <v>21</v>
      </c>
      <c r="H51" s="21" t="s">
        <v>22</v>
      </c>
      <c r="I51" s="22">
        <v>690786</v>
      </c>
      <c r="J51" s="21">
        <v>690786</v>
      </c>
      <c r="K51" s="21" t="s">
        <v>32</v>
      </c>
      <c r="L51" s="25">
        <v>283.98118965430899</v>
      </c>
      <c r="M51" s="21" t="b">
        <v>1</v>
      </c>
      <c r="N51" s="21">
        <v>4</v>
      </c>
      <c r="O51" s="27">
        <v>88658573</v>
      </c>
      <c r="P51" s="21" t="s">
        <v>24</v>
      </c>
      <c r="Q51" s="21" t="s">
        <v>25</v>
      </c>
      <c r="R51" s="23">
        <v>690786</v>
      </c>
      <c r="S51" s="23" t="e" cm="1">
        <f t="array" aca="1" ref="S51" ca="1">Table1[[#This Row],[Nominal TRY]]*_xlfn.XLOOKUP(Table1[[#This Row],[Year]],Table2[[#All],[Year]],Table2[[#All],[Deflator to 2023]])</f>
        <v>#NAME?</v>
      </c>
      <c r="T51" s="24" t="e" cm="1">
        <f t="array" aca="1" ref="T51" ca="1">Table1[[#This Row],[Nominal TRY]]/_xlfn.XLOOKUP(Table1[[#This Row],[Year]],Table3[[#All],[Year]],Table3[[#All],[Rate]])</f>
        <v>#NAME?</v>
      </c>
    </row>
    <row r="52" spans="1:20" ht="29">
      <c r="A52" s="21">
        <v>2023</v>
      </c>
      <c r="B52" s="21">
        <v>2020</v>
      </c>
      <c r="C52" s="21" t="s">
        <v>17</v>
      </c>
      <c r="D52" s="21" t="s">
        <v>18</v>
      </c>
      <c r="E52" s="21" t="s">
        <v>42</v>
      </c>
      <c r="F52" s="3" t="s">
        <v>43</v>
      </c>
      <c r="G52" s="21" t="s">
        <v>21</v>
      </c>
      <c r="H52" s="21" t="s">
        <v>22</v>
      </c>
      <c r="I52" s="22">
        <v>2146469</v>
      </c>
      <c r="J52" s="21">
        <v>2146469</v>
      </c>
      <c r="K52" s="21" t="s">
        <v>23</v>
      </c>
      <c r="L52" s="25">
        <v>210.72850347285501</v>
      </c>
      <c r="M52" s="21" t="b">
        <v>1</v>
      </c>
      <c r="N52" s="21">
        <v>4</v>
      </c>
      <c r="O52" s="27">
        <v>88658573</v>
      </c>
      <c r="P52" s="21" t="s">
        <v>24</v>
      </c>
      <c r="Q52" s="21" t="s">
        <v>25</v>
      </c>
      <c r="R52" s="23">
        <v>2146469</v>
      </c>
      <c r="S52" s="23" t="e" cm="1">
        <f t="array" aca="1" ref="S52" ca="1">Table1[[#This Row],[Nominal TRY]]*_xlfn.XLOOKUP(Table1[[#This Row],[Year]],Table2[[#All],[Year]],Table2[[#All],[Deflator to 2023]])</f>
        <v>#NAME?</v>
      </c>
      <c r="T52" s="24" t="e" cm="1">
        <f t="array" aca="1" ref="T52" ca="1">Table1[[#This Row],[Nominal TRY]]/_xlfn.XLOOKUP(Table1[[#This Row],[Year]],Table3[[#All],[Year]],Table3[[#All],[Rate]])</f>
        <v>#NAME?</v>
      </c>
    </row>
    <row r="53" spans="1:20" ht="29">
      <c r="A53" s="21">
        <v>2020</v>
      </c>
      <c r="B53" s="21">
        <v>2020</v>
      </c>
      <c r="C53" s="21" t="s">
        <v>17</v>
      </c>
      <c r="D53" s="21" t="s">
        <v>18</v>
      </c>
      <c r="E53" s="21" t="s">
        <v>42</v>
      </c>
      <c r="F53" s="3" t="s">
        <v>43</v>
      </c>
      <c r="G53" s="21" t="s">
        <v>21</v>
      </c>
      <c r="H53" s="21" t="s">
        <v>22</v>
      </c>
      <c r="I53" s="22">
        <v>110432</v>
      </c>
      <c r="J53" s="21">
        <v>110432</v>
      </c>
      <c r="K53" s="21" t="s">
        <v>32</v>
      </c>
      <c r="L53" s="21">
        <v>-94.855178434908595</v>
      </c>
      <c r="M53" s="21" t="b">
        <v>1</v>
      </c>
      <c r="N53" s="21">
        <v>4</v>
      </c>
      <c r="O53" s="27">
        <v>88658573</v>
      </c>
      <c r="P53" s="21" t="s">
        <v>24</v>
      </c>
      <c r="Q53" s="21" t="s">
        <v>25</v>
      </c>
      <c r="R53" s="23">
        <v>110432</v>
      </c>
      <c r="S53" s="23" t="e" cm="1">
        <f t="array" aca="1" ref="S53" ca="1">Table1[[#This Row],[Nominal TRY]]*_xlfn.XLOOKUP(Table1[[#This Row],[Year]],Table2[[#All],[Year]],Table2[[#All],[Deflator to 2023]])</f>
        <v>#NAME?</v>
      </c>
      <c r="T53" s="24" t="e" cm="1">
        <f t="array" aca="1" ref="T53" ca="1">Table1[[#This Row],[Nominal TRY]]/_xlfn.XLOOKUP(Table1[[#This Row],[Year]],Table3[[#All],[Year]],Table3[[#All],[Rate]])</f>
        <v>#NAME?</v>
      </c>
    </row>
    <row r="54" spans="1:20">
      <c r="A54" s="21">
        <v>2022</v>
      </c>
      <c r="B54" s="21">
        <v>2020</v>
      </c>
      <c r="C54" s="21" t="s">
        <v>17</v>
      </c>
      <c r="D54" s="21" t="s">
        <v>18</v>
      </c>
      <c r="E54" s="21" t="s">
        <v>78</v>
      </c>
      <c r="F54" s="3" t="s">
        <v>79</v>
      </c>
      <c r="G54" s="21" t="s">
        <v>61</v>
      </c>
      <c r="H54" s="21" t="s">
        <v>31</v>
      </c>
      <c r="I54" s="22">
        <v>864041149</v>
      </c>
      <c r="J54" s="21">
        <v>864041149</v>
      </c>
      <c r="K54" s="21" t="s">
        <v>26</v>
      </c>
      <c r="L54" s="21"/>
      <c r="M54" s="21" t="b">
        <v>1</v>
      </c>
      <c r="N54" s="21">
        <v>4</v>
      </c>
      <c r="O54" s="27">
        <v>738429122.5</v>
      </c>
      <c r="P54" s="21" t="s">
        <v>36</v>
      </c>
      <c r="Q54" s="21" t="s">
        <v>25</v>
      </c>
      <c r="R54" s="23">
        <v>864041149</v>
      </c>
      <c r="S54" s="23" t="e" cm="1">
        <f t="array" aca="1" ref="S54" ca="1">Table1[[#This Row],[Nominal TRY]]*_xlfn.XLOOKUP(Table1[[#This Row],[Year]],Table2[[#All],[Year]],Table2[[#All],[Deflator to 2023]])</f>
        <v>#NAME?</v>
      </c>
      <c r="T54" s="24" t="e" cm="1">
        <f t="array" aca="1" ref="T54" ca="1">Table1[[#This Row],[Nominal TRY]]/_xlfn.XLOOKUP(Table1[[#This Row],[Year]],Table3[[#All],[Year]],Table3[[#All],[Rate]])</f>
        <v>#NAME?</v>
      </c>
    </row>
    <row r="55" spans="1:20">
      <c r="A55" s="21">
        <v>2023</v>
      </c>
      <c r="B55" s="21">
        <v>2020</v>
      </c>
      <c r="C55" s="21" t="s">
        <v>17</v>
      </c>
      <c r="D55" s="21" t="s">
        <v>18</v>
      </c>
      <c r="E55" s="21" t="s">
        <v>78</v>
      </c>
      <c r="F55" s="3" t="s">
        <v>79</v>
      </c>
      <c r="G55" s="21" t="s">
        <v>61</v>
      </c>
      <c r="H55" s="21" t="s">
        <v>31</v>
      </c>
      <c r="I55" s="22">
        <v>703716490</v>
      </c>
      <c r="J55" s="21">
        <v>703716490</v>
      </c>
      <c r="K55" s="21" t="s">
        <v>26</v>
      </c>
      <c r="L55" s="21">
        <v>-18.555211078263099</v>
      </c>
      <c r="M55" s="21" t="b">
        <v>1</v>
      </c>
      <c r="N55" s="21">
        <v>4</v>
      </c>
      <c r="O55" s="27">
        <v>738429122.5</v>
      </c>
      <c r="P55" s="21" t="s">
        <v>36</v>
      </c>
      <c r="Q55" s="21" t="s">
        <v>25</v>
      </c>
      <c r="R55" s="23">
        <v>703716490</v>
      </c>
      <c r="S55" s="23" t="e" cm="1">
        <f t="array" aca="1" ref="S55" ca="1">Table1[[#This Row],[Nominal TRY]]*_xlfn.XLOOKUP(Table1[[#This Row],[Year]],Table2[[#All],[Year]],Table2[[#All],[Deflator to 2023]])</f>
        <v>#NAME?</v>
      </c>
      <c r="T55" s="24" t="e" cm="1">
        <f t="array" aca="1" ref="T55" ca="1">Table1[[#This Row],[Nominal TRY]]/_xlfn.XLOOKUP(Table1[[#This Row],[Year]],Table3[[#All],[Year]],Table3[[#All],[Rate]])</f>
        <v>#NAME?</v>
      </c>
    </row>
    <row r="56" spans="1:20">
      <c r="A56" s="21">
        <v>2020</v>
      </c>
      <c r="B56" s="21">
        <v>2020</v>
      </c>
      <c r="C56" s="21" t="s">
        <v>17</v>
      </c>
      <c r="D56" s="21" t="s">
        <v>18</v>
      </c>
      <c r="E56" s="21" t="s">
        <v>78</v>
      </c>
      <c r="F56" s="3" t="s">
        <v>79</v>
      </c>
      <c r="G56" s="21" t="s">
        <v>61</v>
      </c>
      <c r="H56" s="21" t="s">
        <v>31</v>
      </c>
      <c r="I56" s="22">
        <v>921168645</v>
      </c>
      <c r="J56" s="21">
        <v>921168645</v>
      </c>
      <c r="K56" s="21" t="s">
        <v>26</v>
      </c>
      <c r="L56" s="25">
        <v>30.900534247818999</v>
      </c>
      <c r="M56" s="21" t="b">
        <v>1</v>
      </c>
      <c r="N56" s="21">
        <v>4</v>
      </c>
      <c r="O56" s="27">
        <v>738429122.5</v>
      </c>
      <c r="P56" s="21" t="s">
        <v>36</v>
      </c>
      <c r="Q56" s="21" t="s">
        <v>25</v>
      </c>
      <c r="R56" s="23">
        <v>921168645</v>
      </c>
      <c r="S56" s="23" t="e" cm="1">
        <f t="array" aca="1" ref="S56" ca="1">Table1[[#This Row],[Nominal TRY]]*_xlfn.XLOOKUP(Table1[[#This Row],[Year]],Table2[[#All],[Year]],Table2[[#All],[Deflator to 2023]])</f>
        <v>#NAME?</v>
      </c>
      <c r="T56" s="24" t="e" cm="1">
        <f t="array" aca="1" ref="T56" ca="1">Table1[[#This Row],[Nominal TRY]]/_xlfn.XLOOKUP(Table1[[#This Row],[Year]],Table3[[#All],[Year]],Table3[[#All],[Rate]])</f>
        <v>#NAME?</v>
      </c>
    </row>
    <row r="57" spans="1:20">
      <c r="A57" s="21">
        <v>2022</v>
      </c>
      <c r="B57" s="21">
        <v>2020</v>
      </c>
      <c r="C57" s="21" t="s">
        <v>17</v>
      </c>
      <c r="D57" s="21" t="s">
        <v>18</v>
      </c>
      <c r="E57" s="21" t="s">
        <v>67</v>
      </c>
      <c r="F57" s="3" t="s">
        <v>68</v>
      </c>
      <c r="G57" s="21" t="s">
        <v>61</v>
      </c>
      <c r="H57" s="21" t="s">
        <v>31</v>
      </c>
      <c r="I57" s="22">
        <v>703716490</v>
      </c>
      <c r="J57" s="21">
        <v>703716490</v>
      </c>
      <c r="K57" s="21" t="s">
        <v>26</v>
      </c>
      <c r="L57" s="21"/>
      <c r="M57" s="21" t="b">
        <v>1</v>
      </c>
      <c r="N57" s="21">
        <v>4</v>
      </c>
      <c r="O57" s="27">
        <v>703716490</v>
      </c>
      <c r="P57" s="21" t="s">
        <v>41</v>
      </c>
      <c r="Q57" s="21" t="s">
        <v>25</v>
      </c>
      <c r="R57" s="23">
        <v>703716490</v>
      </c>
      <c r="S57" s="23" t="e" cm="1">
        <f t="array" aca="1" ref="S57" ca="1">Table1[[#This Row],[Nominal TRY]]*_xlfn.XLOOKUP(Table1[[#This Row],[Year]],Table2[[#All],[Year]],Table2[[#All],[Deflator to 2023]])</f>
        <v>#NAME?</v>
      </c>
      <c r="T57" s="24" t="e" cm="1">
        <f t="array" aca="1" ref="T57" ca="1">Table1[[#This Row],[Nominal TRY]]/_xlfn.XLOOKUP(Table1[[#This Row],[Year]],Table3[[#All],[Year]],Table3[[#All],[Rate]])</f>
        <v>#NAME?</v>
      </c>
    </row>
    <row r="58" spans="1:20">
      <c r="A58" s="21">
        <v>2023</v>
      </c>
      <c r="B58" s="21">
        <v>2020</v>
      </c>
      <c r="C58" s="21" t="s">
        <v>17</v>
      </c>
      <c r="D58" s="21" t="s">
        <v>18</v>
      </c>
      <c r="E58" s="21" t="s">
        <v>67</v>
      </c>
      <c r="F58" s="3" t="s">
        <v>68</v>
      </c>
      <c r="G58" s="21" t="s">
        <v>61</v>
      </c>
      <c r="H58" s="21" t="s">
        <v>31</v>
      </c>
      <c r="I58" s="22">
        <v>703716490</v>
      </c>
      <c r="J58" s="21">
        <v>703716490</v>
      </c>
      <c r="K58" s="21" t="s">
        <v>26</v>
      </c>
      <c r="L58" s="21"/>
      <c r="M58" s="21" t="b">
        <v>1</v>
      </c>
      <c r="N58" s="21">
        <v>4</v>
      </c>
      <c r="O58" s="27">
        <v>703716490</v>
      </c>
      <c r="P58" s="21" t="s">
        <v>41</v>
      </c>
      <c r="Q58" s="21" t="s">
        <v>25</v>
      </c>
      <c r="R58" s="23">
        <v>703716490</v>
      </c>
      <c r="S58" s="23" t="e" cm="1">
        <f t="array" aca="1" ref="S58" ca="1">Table1[[#This Row],[Nominal TRY]]*_xlfn.XLOOKUP(Table1[[#This Row],[Year]],Table2[[#All],[Year]],Table2[[#All],[Deflator to 2023]])</f>
        <v>#NAME?</v>
      </c>
      <c r="T58" s="24" t="e" cm="1">
        <f t="array" aca="1" ref="T58" ca="1">Table1[[#This Row],[Nominal TRY]]/_xlfn.XLOOKUP(Table1[[#This Row],[Year]],Table3[[#All],[Year]],Table3[[#All],[Rate]])</f>
        <v>#NAME?</v>
      </c>
    </row>
    <row r="59" spans="1:20">
      <c r="A59" s="21">
        <v>2020</v>
      </c>
      <c r="B59" s="21">
        <v>2020</v>
      </c>
      <c r="C59" s="21" t="s">
        <v>17</v>
      </c>
      <c r="D59" s="21" t="s">
        <v>18</v>
      </c>
      <c r="E59" s="21" t="s">
        <v>67</v>
      </c>
      <c r="F59" s="3" t="s">
        <v>68</v>
      </c>
      <c r="G59" s="21" t="s">
        <v>61</v>
      </c>
      <c r="H59" s="21" t="s">
        <v>31</v>
      </c>
      <c r="I59" s="22">
        <v>703716490</v>
      </c>
      <c r="J59" s="21">
        <v>703716490</v>
      </c>
      <c r="K59" s="21" t="s">
        <v>26</v>
      </c>
      <c r="L59" s="21"/>
      <c r="M59" s="21" t="b">
        <v>1</v>
      </c>
      <c r="N59" s="21">
        <v>4</v>
      </c>
      <c r="O59" s="27">
        <v>703716490</v>
      </c>
      <c r="P59" s="21" t="s">
        <v>41</v>
      </c>
      <c r="Q59" s="21" t="s">
        <v>25</v>
      </c>
      <c r="R59" s="23">
        <v>703716490</v>
      </c>
      <c r="S59" s="23" t="e" cm="1">
        <f t="array" aca="1" ref="S59" ca="1">Table1[[#This Row],[Nominal TRY]]*_xlfn.XLOOKUP(Table1[[#This Row],[Year]],Table2[[#All],[Year]],Table2[[#All],[Deflator to 2023]])</f>
        <v>#NAME?</v>
      </c>
      <c r="T59" s="24" t="e" cm="1">
        <f t="array" aca="1" ref="T59" ca="1">Table1[[#This Row],[Nominal TRY]]/_xlfn.XLOOKUP(Table1[[#This Row],[Year]],Table3[[#All],[Year]],Table3[[#All],[Rate]])</f>
        <v>#NAME?</v>
      </c>
    </row>
    <row r="60" spans="1:20">
      <c r="A60" s="21">
        <v>2022</v>
      </c>
      <c r="B60" s="21">
        <v>2020</v>
      </c>
      <c r="C60" s="21" t="s">
        <v>17</v>
      </c>
      <c r="D60" s="21" t="s">
        <v>18</v>
      </c>
      <c r="E60" s="21" t="s">
        <v>28</v>
      </c>
      <c r="F60" s="3" t="s">
        <v>29</v>
      </c>
      <c r="G60" s="21" t="s">
        <v>30</v>
      </c>
      <c r="H60" s="21" t="s">
        <v>31</v>
      </c>
      <c r="I60" s="22">
        <v>6950</v>
      </c>
      <c r="J60" s="21">
        <v>6950</v>
      </c>
      <c r="K60" s="21" t="s">
        <v>32</v>
      </c>
      <c r="L60" s="21">
        <v>-97.290955298813401</v>
      </c>
      <c r="M60" s="21" t="b">
        <v>1</v>
      </c>
      <c r="N60" s="21">
        <v>4</v>
      </c>
      <c r="O60" s="28">
        <v>64491.166666666599</v>
      </c>
      <c r="P60" s="21" t="s">
        <v>24</v>
      </c>
      <c r="Q60" s="21" t="s">
        <v>25</v>
      </c>
      <c r="R60" s="23">
        <v>6950</v>
      </c>
      <c r="S60" s="23" t="e" cm="1">
        <f t="array" aca="1" ref="S60" ca="1">Table1[[#This Row],[Nominal TRY]]*_xlfn.XLOOKUP(Table1[[#This Row],[Year]],Table2[[#All],[Year]],Table2[[#All],[Deflator to 2023]])</f>
        <v>#NAME?</v>
      </c>
      <c r="T60" s="24" t="e" cm="1">
        <f t="array" aca="1" ref="T60" ca="1">Table1[[#This Row],[Nominal TRY]]/_xlfn.XLOOKUP(Table1[[#This Row],[Year]],Table3[[#All],[Year]],Table3[[#All],[Rate]])</f>
        <v>#NAME?</v>
      </c>
    </row>
    <row r="61" spans="1:20">
      <c r="A61" s="21">
        <v>2023</v>
      </c>
      <c r="B61" s="21">
        <v>2020</v>
      </c>
      <c r="C61" s="21" t="s">
        <v>17</v>
      </c>
      <c r="D61" s="21" t="s">
        <v>18</v>
      </c>
      <c r="E61" s="21" t="s">
        <v>28</v>
      </c>
      <c r="F61" s="3" t="s">
        <v>29</v>
      </c>
      <c r="G61" s="21" t="s">
        <v>30</v>
      </c>
      <c r="H61" s="21" t="s">
        <v>31</v>
      </c>
      <c r="I61" s="22">
        <v>7277</v>
      </c>
      <c r="J61" s="21">
        <v>7277</v>
      </c>
      <c r="K61" s="21" t="s">
        <v>32</v>
      </c>
      <c r="L61" s="25">
        <v>4.7050359712230199</v>
      </c>
      <c r="M61" s="21" t="b">
        <v>1</v>
      </c>
      <c r="N61" s="21">
        <v>4</v>
      </c>
      <c r="O61" s="28">
        <v>64491.166666666599</v>
      </c>
      <c r="P61" s="21" t="s">
        <v>24</v>
      </c>
      <c r="Q61" s="21" t="s">
        <v>25</v>
      </c>
      <c r="R61" s="23">
        <v>7277</v>
      </c>
      <c r="S61" s="23" t="e" cm="1">
        <f t="array" aca="1" ref="S61" ca="1">Table1[[#This Row],[Nominal TRY]]*_xlfn.XLOOKUP(Table1[[#This Row],[Year]],Table2[[#All],[Year]],Table2[[#All],[Deflator to 2023]])</f>
        <v>#NAME?</v>
      </c>
      <c r="T61" s="24" t="e" cm="1">
        <f t="array" aca="1" ref="T61" ca="1">Table1[[#This Row],[Nominal TRY]]/_xlfn.XLOOKUP(Table1[[#This Row],[Year]],Table3[[#All],[Year]],Table3[[#All],[Rate]])</f>
        <v>#NAME?</v>
      </c>
    </row>
    <row r="62" spans="1:20">
      <c r="A62" s="21">
        <v>2020</v>
      </c>
      <c r="B62" s="21">
        <v>2020</v>
      </c>
      <c r="C62" s="21" t="s">
        <v>17</v>
      </c>
      <c r="D62" s="21" t="s">
        <v>18</v>
      </c>
      <c r="E62" s="21" t="s">
        <v>28</v>
      </c>
      <c r="F62" s="3" t="s">
        <v>29</v>
      </c>
      <c r="G62" s="21" t="s">
        <v>30</v>
      </c>
      <c r="H62" s="21" t="s">
        <v>31</v>
      </c>
      <c r="I62" s="22">
        <v>4665</v>
      </c>
      <c r="J62" s="21">
        <v>4665</v>
      </c>
      <c r="K62" s="21" t="s">
        <v>32</v>
      </c>
      <c r="L62" s="21">
        <v>-35.893912326508101</v>
      </c>
      <c r="M62" s="21" t="b">
        <v>1</v>
      </c>
      <c r="N62" s="21">
        <v>4</v>
      </c>
      <c r="O62" s="28">
        <v>64491.166666666599</v>
      </c>
      <c r="P62" s="21" t="s">
        <v>24</v>
      </c>
      <c r="Q62" s="21" t="s">
        <v>25</v>
      </c>
      <c r="R62" s="23">
        <v>4665</v>
      </c>
      <c r="S62" s="23" t="e" cm="1">
        <f t="array" aca="1" ref="S62" ca="1">Table1[[#This Row],[Nominal TRY]]*_xlfn.XLOOKUP(Table1[[#This Row],[Year]],Table2[[#All],[Year]],Table2[[#All],[Deflator to 2023]])</f>
        <v>#NAME?</v>
      </c>
      <c r="T62" s="24" t="e" cm="1">
        <f t="array" aca="1" ref="T62" ca="1">Table1[[#This Row],[Nominal TRY]]/_xlfn.XLOOKUP(Table1[[#This Row],[Year]],Table3[[#All],[Year]],Table3[[#All],[Rate]])</f>
        <v>#NAME?</v>
      </c>
    </row>
    <row r="63" spans="1:20">
      <c r="A63" s="21">
        <v>2022</v>
      </c>
      <c r="B63" s="21">
        <v>2020</v>
      </c>
      <c r="C63" s="21" t="s">
        <v>17</v>
      </c>
      <c r="D63" s="21" t="s">
        <v>18</v>
      </c>
      <c r="E63" s="21" t="s">
        <v>82</v>
      </c>
      <c r="F63" s="3" t="s">
        <v>83</v>
      </c>
      <c r="G63" s="21" t="s">
        <v>21</v>
      </c>
      <c r="H63" s="21" t="s">
        <v>22</v>
      </c>
      <c r="I63" s="22">
        <v>2930865</v>
      </c>
      <c r="J63" s="21">
        <v>2930865</v>
      </c>
      <c r="K63" s="21" t="s">
        <v>23</v>
      </c>
      <c r="L63" s="21"/>
      <c r="M63" s="21" t="b">
        <v>1</v>
      </c>
      <c r="N63" s="21">
        <v>4</v>
      </c>
      <c r="O63" s="27">
        <v>2167758.375</v>
      </c>
      <c r="P63" s="21" t="s">
        <v>24</v>
      </c>
      <c r="Q63" s="21" t="s">
        <v>25</v>
      </c>
      <c r="R63" s="23">
        <v>2930865</v>
      </c>
      <c r="S63" s="23" t="e" cm="1">
        <f t="array" aca="1" ref="S63" ca="1">Table1[[#This Row],[Nominal TRY]]*_xlfn.XLOOKUP(Table1[[#This Row],[Year]],Table2[[#All],[Year]],Table2[[#All],[Deflator to 2023]])</f>
        <v>#NAME?</v>
      </c>
      <c r="T63" s="24" t="e" cm="1">
        <f t="array" aca="1" ref="T63" ca="1">Table1[[#This Row],[Nominal TRY]]/_xlfn.XLOOKUP(Table1[[#This Row],[Year]],Table3[[#All],[Year]],Table3[[#All],[Rate]])</f>
        <v>#NAME?</v>
      </c>
    </row>
    <row r="64" spans="1:20">
      <c r="A64" s="21">
        <v>2023</v>
      </c>
      <c r="B64" s="21">
        <v>2020</v>
      </c>
      <c r="C64" s="21" t="s">
        <v>17</v>
      </c>
      <c r="D64" s="21" t="s">
        <v>18</v>
      </c>
      <c r="E64" s="21" t="s">
        <v>82</v>
      </c>
      <c r="F64" s="3" t="s">
        <v>83</v>
      </c>
      <c r="G64" s="21" t="s">
        <v>21</v>
      </c>
      <c r="H64" s="21" t="s">
        <v>22</v>
      </c>
      <c r="I64" s="22">
        <v>2147166</v>
      </c>
      <c r="J64" s="21">
        <v>2147166</v>
      </c>
      <c r="K64" s="21" t="s">
        <v>23</v>
      </c>
      <c r="L64" s="21">
        <v>-26.739512055314702</v>
      </c>
      <c r="M64" s="21" t="b">
        <v>1</v>
      </c>
      <c r="N64" s="21">
        <v>4</v>
      </c>
      <c r="O64" s="27">
        <v>2167758.375</v>
      </c>
      <c r="P64" s="21" t="s">
        <v>24</v>
      </c>
      <c r="Q64" s="21" t="s">
        <v>25</v>
      </c>
      <c r="R64" s="23">
        <v>2147166</v>
      </c>
      <c r="S64" s="23" t="e" cm="1">
        <f t="array" aca="1" ref="S64" ca="1">Table1[[#This Row],[Nominal TRY]]*_xlfn.XLOOKUP(Table1[[#This Row],[Year]],Table2[[#All],[Year]],Table2[[#All],[Deflator to 2023]])</f>
        <v>#NAME?</v>
      </c>
      <c r="T64" s="24" t="e" cm="1">
        <f t="array" aca="1" ref="T64" ca="1">Table1[[#This Row],[Nominal TRY]]/_xlfn.XLOOKUP(Table1[[#This Row],[Year]],Table3[[#All],[Year]],Table3[[#All],[Rate]])</f>
        <v>#NAME?</v>
      </c>
    </row>
    <row r="65" spans="1:20">
      <c r="A65" s="21">
        <v>2020</v>
      </c>
      <c r="B65" s="21">
        <v>2020</v>
      </c>
      <c r="C65" s="21" t="s">
        <v>17</v>
      </c>
      <c r="D65" s="21" t="s">
        <v>18</v>
      </c>
      <c r="E65" s="21" t="s">
        <v>82</v>
      </c>
      <c r="F65" s="3" t="s">
        <v>83</v>
      </c>
      <c r="G65" s="21" t="s">
        <v>21</v>
      </c>
      <c r="H65" s="21" t="s">
        <v>22</v>
      </c>
      <c r="I65" s="22">
        <v>1364589</v>
      </c>
      <c r="J65" s="21">
        <v>1364589</v>
      </c>
      <c r="K65" s="21" t="s">
        <v>23</v>
      </c>
      <c r="L65" s="21">
        <v>-36.446972427842098</v>
      </c>
      <c r="M65" s="21" t="b">
        <v>1</v>
      </c>
      <c r="N65" s="21">
        <v>4</v>
      </c>
      <c r="O65" s="27">
        <v>2167758.375</v>
      </c>
      <c r="P65" s="21" t="s">
        <v>24</v>
      </c>
      <c r="Q65" s="21" t="s">
        <v>25</v>
      </c>
      <c r="R65" s="23">
        <v>1364589</v>
      </c>
      <c r="S65" s="23" t="e" cm="1">
        <f t="array" aca="1" ref="S65" ca="1">Table1[[#This Row],[Nominal TRY]]*_xlfn.XLOOKUP(Table1[[#This Row],[Year]],Table2[[#All],[Year]],Table2[[#All],[Deflator to 2023]])</f>
        <v>#NAME?</v>
      </c>
      <c r="T65" s="24" t="e" cm="1">
        <f t="array" aca="1" ref="T65" ca="1">Table1[[#This Row],[Nominal TRY]]/_xlfn.XLOOKUP(Table1[[#This Row],[Year]],Table3[[#All],[Year]],Table3[[#All],[Rate]])</f>
        <v>#NAME?</v>
      </c>
    </row>
    <row r="66" spans="1:20">
      <c r="A66" s="21">
        <v>2021</v>
      </c>
      <c r="B66" s="21">
        <v>2020</v>
      </c>
      <c r="C66" s="21" t="s">
        <v>17</v>
      </c>
      <c r="D66" s="21" t="s">
        <v>18</v>
      </c>
      <c r="E66" s="21" t="s">
        <v>56</v>
      </c>
      <c r="F66" s="3" t="s">
        <v>57</v>
      </c>
      <c r="G66" s="21" t="s">
        <v>21</v>
      </c>
      <c r="H66" s="21" t="s">
        <v>22</v>
      </c>
      <c r="I66" s="22">
        <v>1884699</v>
      </c>
      <c r="J66" s="21">
        <v>1884699</v>
      </c>
      <c r="K66" s="21" t="s">
        <v>23</v>
      </c>
      <c r="L66" s="21">
        <v>-68.385288709380305</v>
      </c>
      <c r="M66" s="21" t="b">
        <v>1</v>
      </c>
      <c r="N66" s="21">
        <v>4</v>
      </c>
      <c r="O66" s="27">
        <v>190634414.125</v>
      </c>
      <c r="P66" s="21" t="s">
        <v>24</v>
      </c>
      <c r="Q66" s="21" t="s">
        <v>25</v>
      </c>
      <c r="R66" s="23">
        <v>1884699</v>
      </c>
      <c r="S66" s="23" t="e" cm="1">
        <f t="array" aca="1" ref="S66" ca="1">Table1[[#This Row],[Nominal TRY]]*_xlfn.XLOOKUP(Table1[[#This Row],[Year]],Table2[[#All],[Year]],Table2[[#All],[Deflator to 2023]])</f>
        <v>#NAME?</v>
      </c>
      <c r="T66" s="24" t="e" cm="1">
        <f t="array" aca="1" ref="T66" ca="1">Table1[[#This Row],[Nominal TRY]]/_xlfn.XLOOKUP(Table1[[#This Row],[Year]],Table3[[#All],[Year]],Table3[[#All],[Rate]])</f>
        <v>#NAME?</v>
      </c>
    </row>
    <row r="67" spans="1:20">
      <c r="A67" s="21">
        <v>2022</v>
      </c>
      <c r="B67" s="21">
        <v>2020</v>
      </c>
      <c r="C67" s="21" t="s">
        <v>17</v>
      </c>
      <c r="D67" s="21" t="s">
        <v>18</v>
      </c>
      <c r="E67" s="21" t="s">
        <v>56</v>
      </c>
      <c r="F67" s="3" t="s">
        <v>57</v>
      </c>
      <c r="G67" s="21" t="s">
        <v>21</v>
      </c>
      <c r="H67" s="21" t="s">
        <v>22</v>
      </c>
      <c r="I67" s="22">
        <v>1875645</v>
      </c>
      <c r="J67" s="21">
        <v>1875645</v>
      </c>
      <c r="K67" s="21" t="s">
        <v>23</v>
      </c>
      <c r="L67" s="21">
        <v>-0.480395012678414</v>
      </c>
      <c r="M67" s="21" t="b">
        <v>1</v>
      </c>
      <c r="N67" s="21">
        <v>4</v>
      </c>
      <c r="O67" s="27">
        <v>190634414.125</v>
      </c>
      <c r="P67" s="21" t="s">
        <v>24</v>
      </c>
      <c r="Q67" s="21" t="s">
        <v>25</v>
      </c>
      <c r="R67" s="23">
        <v>1875645</v>
      </c>
      <c r="S67" s="23" t="e" cm="1">
        <f t="array" aca="1" ref="S67" ca="1">Table1[[#This Row],[Nominal TRY]]*_xlfn.XLOOKUP(Table1[[#This Row],[Year]],Table2[[#All],[Year]],Table2[[#All],[Deflator to 2023]])</f>
        <v>#NAME?</v>
      </c>
      <c r="T67" s="24" t="e" cm="1">
        <f t="array" aca="1" ref="T67" ca="1">Table1[[#This Row],[Nominal TRY]]/_xlfn.XLOOKUP(Table1[[#This Row],[Year]],Table3[[#All],[Year]],Table3[[#All],[Rate]])</f>
        <v>#NAME?</v>
      </c>
    </row>
    <row r="68" spans="1:20">
      <c r="A68" s="21">
        <v>2023</v>
      </c>
      <c r="B68" s="21">
        <v>2020</v>
      </c>
      <c r="C68" s="21" t="s">
        <v>17</v>
      </c>
      <c r="D68" s="21" t="s">
        <v>18</v>
      </c>
      <c r="E68" s="21" t="s">
        <v>56</v>
      </c>
      <c r="F68" s="3" t="s">
        <v>57</v>
      </c>
      <c r="G68" s="21" t="s">
        <v>21</v>
      </c>
      <c r="H68" s="21" t="s">
        <v>22</v>
      </c>
      <c r="I68" s="22">
        <v>703716490</v>
      </c>
      <c r="J68" s="21">
        <v>703716490</v>
      </c>
      <c r="K68" s="21" t="s">
        <v>26</v>
      </c>
      <c r="L68" s="25">
        <v>37418.639721269203</v>
      </c>
      <c r="M68" s="21" t="b">
        <v>1</v>
      </c>
      <c r="N68" s="21">
        <v>4</v>
      </c>
      <c r="O68" s="27">
        <v>190634414.125</v>
      </c>
      <c r="P68" s="21" t="s">
        <v>24</v>
      </c>
      <c r="Q68" s="21" t="s">
        <v>25</v>
      </c>
      <c r="R68" s="23">
        <v>703716490</v>
      </c>
      <c r="S68" s="23" t="e" cm="1">
        <f t="array" aca="1" ref="S68" ca="1">Table1[[#This Row],[Nominal TRY]]*_xlfn.XLOOKUP(Table1[[#This Row],[Year]],Table2[[#All],[Year]],Table2[[#All],[Deflator to 2023]])</f>
        <v>#NAME?</v>
      </c>
      <c r="T68" s="24" t="e" cm="1">
        <f t="array" aca="1" ref="T68" ca="1">Table1[[#This Row],[Nominal TRY]]/_xlfn.XLOOKUP(Table1[[#This Row],[Year]],Table3[[#All],[Year]],Table3[[#All],[Rate]])</f>
        <v>#NAME?</v>
      </c>
    </row>
    <row r="69" spans="1:20">
      <c r="A69" s="21">
        <v>2022</v>
      </c>
      <c r="B69" s="21">
        <v>2020</v>
      </c>
      <c r="C69" s="21" t="s">
        <v>17</v>
      </c>
      <c r="D69" s="21" t="s">
        <v>18</v>
      </c>
      <c r="E69" s="21" t="s">
        <v>85</v>
      </c>
      <c r="F69" s="3" t="s">
        <v>86</v>
      </c>
      <c r="G69" s="21" t="s">
        <v>40</v>
      </c>
      <c r="H69" s="21" t="s">
        <v>22</v>
      </c>
      <c r="I69" s="22">
        <v>703716490</v>
      </c>
      <c r="J69" s="21">
        <v>703716490</v>
      </c>
      <c r="K69" s="21" t="s">
        <v>26</v>
      </c>
      <c r="L69" s="21"/>
      <c r="M69" s="21" t="b">
        <v>1</v>
      </c>
      <c r="N69" s="21">
        <v>4</v>
      </c>
      <c r="O69" s="27">
        <v>703716490</v>
      </c>
      <c r="P69" s="21" t="s">
        <v>41</v>
      </c>
      <c r="Q69" s="21" t="s">
        <v>25</v>
      </c>
      <c r="R69" s="23">
        <v>703716490</v>
      </c>
      <c r="S69" s="23" t="e" cm="1">
        <f t="array" aca="1" ref="S69" ca="1">Table1[[#This Row],[Nominal TRY]]*_xlfn.XLOOKUP(Table1[[#This Row],[Year]],Table2[[#All],[Year]],Table2[[#All],[Deflator to 2023]])</f>
        <v>#NAME?</v>
      </c>
      <c r="T69" s="24" t="e" cm="1">
        <f t="array" aca="1" ref="T69" ca="1">Table1[[#This Row],[Nominal TRY]]/_xlfn.XLOOKUP(Table1[[#This Row],[Year]],Table3[[#All],[Year]],Table3[[#All],[Rate]])</f>
        <v>#NAME?</v>
      </c>
    </row>
    <row r="70" spans="1:20">
      <c r="A70" s="21">
        <v>2023</v>
      </c>
      <c r="B70" s="21">
        <v>2020</v>
      </c>
      <c r="C70" s="21" t="s">
        <v>17</v>
      </c>
      <c r="D70" s="21" t="s">
        <v>18</v>
      </c>
      <c r="E70" s="21" t="s">
        <v>85</v>
      </c>
      <c r="F70" s="3" t="s">
        <v>86</v>
      </c>
      <c r="G70" s="21" t="s">
        <v>40</v>
      </c>
      <c r="H70" s="21" t="s">
        <v>22</v>
      </c>
      <c r="I70" s="22">
        <v>703716490</v>
      </c>
      <c r="J70" s="21">
        <v>703716490</v>
      </c>
      <c r="K70" s="21" t="s">
        <v>26</v>
      </c>
      <c r="L70" s="21"/>
      <c r="M70" s="21" t="b">
        <v>1</v>
      </c>
      <c r="N70" s="21">
        <v>4</v>
      </c>
      <c r="O70" s="27">
        <v>703716490</v>
      </c>
      <c r="P70" s="21" t="s">
        <v>41</v>
      </c>
      <c r="Q70" s="21" t="s">
        <v>25</v>
      </c>
      <c r="R70" s="23">
        <v>703716490</v>
      </c>
      <c r="S70" s="23" t="e" cm="1">
        <f t="array" aca="1" ref="S70" ca="1">Table1[[#This Row],[Nominal TRY]]*_xlfn.XLOOKUP(Table1[[#This Row],[Year]],Table2[[#All],[Year]],Table2[[#All],[Deflator to 2023]])</f>
        <v>#NAME?</v>
      </c>
      <c r="T70" s="24" t="e" cm="1">
        <f t="array" aca="1" ref="T70" ca="1">Table1[[#This Row],[Nominal TRY]]/_xlfn.XLOOKUP(Table1[[#This Row],[Year]],Table3[[#All],[Year]],Table3[[#All],[Rate]])</f>
        <v>#NAME?</v>
      </c>
    </row>
    <row r="71" spans="1:20">
      <c r="A71" s="21">
        <v>2020</v>
      </c>
      <c r="B71" s="21">
        <v>2020</v>
      </c>
      <c r="C71" s="21" t="s">
        <v>17</v>
      </c>
      <c r="D71" s="21" t="s">
        <v>18</v>
      </c>
      <c r="E71" s="21" t="s">
        <v>85</v>
      </c>
      <c r="F71" s="3" t="s">
        <v>86</v>
      </c>
      <c r="G71" s="21" t="s">
        <v>40</v>
      </c>
      <c r="H71" s="21" t="s">
        <v>22</v>
      </c>
      <c r="I71" s="22">
        <v>703716490</v>
      </c>
      <c r="J71" s="21">
        <v>703716490</v>
      </c>
      <c r="K71" s="21" t="s">
        <v>26</v>
      </c>
      <c r="L71" s="21"/>
      <c r="M71" s="21" t="b">
        <v>1</v>
      </c>
      <c r="N71" s="21">
        <v>4</v>
      </c>
      <c r="O71" s="27">
        <v>703716490</v>
      </c>
      <c r="P71" s="21" t="s">
        <v>41</v>
      </c>
      <c r="Q71" s="21" t="s">
        <v>25</v>
      </c>
      <c r="R71" s="23">
        <v>703716490</v>
      </c>
      <c r="S71" s="23" t="e" cm="1">
        <f t="array" aca="1" ref="S71" ca="1">Table1[[#This Row],[Nominal TRY]]*_xlfn.XLOOKUP(Table1[[#This Row],[Year]],Table2[[#All],[Year]],Table2[[#All],[Deflator to 2023]])</f>
        <v>#NAME?</v>
      </c>
      <c r="T71" s="24" t="e" cm="1">
        <f t="array" aca="1" ref="T71" ca="1">Table1[[#This Row],[Nominal TRY]]/_xlfn.XLOOKUP(Table1[[#This Row],[Year]],Table3[[#All],[Year]],Table3[[#All],[Rate]])</f>
        <v>#NAME?</v>
      </c>
    </row>
    <row r="72" spans="1:20" ht="29">
      <c r="A72" s="21">
        <v>2021</v>
      </c>
      <c r="B72" s="21">
        <v>2020</v>
      </c>
      <c r="C72" s="21" t="s">
        <v>17</v>
      </c>
      <c r="D72" s="21" t="s">
        <v>18</v>
      </c>
      <c r="E72" s="21" t="s">
        <v>87</v>
      </c>
      <c r="F72" s="3" t="s">
        <v>88</v>
      </c>
      <c r="G72" s="21" t="s">
        <v>21</v>
      </c>
      <c r="H72" s="21" t="s">
        <v>31</v>
      </c>
      <c r="I72" s="22">
        <v>577147</v>
      </c>
      <c r="J72" s="21">
        <v>577147</v>
      </c>
      <c r="K72" s="21" t="s">
        <v>32</v>
      </c>
      <c r="L72" s="21"/>
      <c r="M72" s="21" t="b">
        <v>1</v>
      </c>
      <c r="N72" s="21">
        <v>4</v>
      </c>
      <c r="O72" s="27">
        <v>588445.5</v>
      </c>
      <c r="P72" s="21" t="s">
        <v>36</v>
      </c>
      <c r="Q72" s="21" t="s">
        <v>25</v>
      </c>
      <c r="R72" s="23">
        <v>577147</v>
      </c>
      <c r="S72" s="23" t="e" cm="1">
        <f t="array" aca="1" ref="S72" ca="1">Table1[[#This Row],[Nominal TRY]]*_xlfn.XLOOKUP(Table1[[#This Row],[Year]],Table2[[#All],[Year]],Table2[[#All],[Deflator to 2023]])</f>
        <v>#NAME?</v>
      </c>
      <c r="T72" s="24" t="e" cm="1">
        <f t="array" aca="1" ref="T72" ca="1">Table1[[#This Row],[Nominal TRY]]/_xlfn.XLOOKUP(Table1[[#This Row],[Year]],Table3[[#All],[Year]],Table3[[#All],[Rate]])</f>
        <v>#NAME?</v>
      </c>
    </row>
    <row r="73" spans="1:20" ht="29">
      <c r="A73" s="21">
        <v>2022</v>
      </c>
      <c r="B73" s="21">
        <v>2020</v>
      </c>
      <c r="C73" s="21" t="s">
        <v>17</v>
      </c>
      <c r="D73" s="21" t="s">
        <v>18</v>
      </c>
      <c r="E73" s="21" t="s">
        <v>87</v>
      </c>
      <c r="F73" s="3" t="s">
        <v>88</v>
      </c>
      <c r="G73" s="21" t="s">
        <v>21</v>
      </c>
      <c r="H73" s="21" t="s">
        <v>31</v>
      </c>
      <c r="I73" s="22">
        <v>605000</v>
      </c>
      <c r="J73" s="21">
        <v>605000</v>
      </c>
      <c r="K73" s="21" t="s">
        <v>32</v>
      </c>
      <c r="L73" s="25">
        <v>4.8259802095479998</v>
      </c>
      <c r="M73" s="21" t="b">
        <v>1</v>
      </c>
      <c r="N73" s="21">
        <v>4</v>
      </c>
      <c r="O73" s="27">
        <v>588445.5</v>
      </c>
      <c r="P73" s="21" t="s">
        <v>36</v>
      </c>
      <c r="Q73" s="21" t="s">
        <v>25</v>
      </c>
      <c r="R73" s="23">
        <v>605000</v>
      </c>
      <c r="S73" s="23" t="e" cm="1">
        <f t="array" aca="1" ref="S73" ca="1">Table1[[#This Row],[Nominal TRY]]*_xlfn.XLOOKUP(Table1[[#This Row],[Year]],Table2[[#All],[Year]],Table2[[#All],[Deflator to 2023]])</f>
        <v>#NAME?</v>
      </c>
      <c r="T73" s="24" t="e" cm="1">
        <f t="array" aca="1" ref="T73" ca="1">Table1[[#This Row],[Nominal TRY]]/_xlfn.XLOOKUP(Table1[[#This Row],[Year]],Table3[[#All],[Year]],Table3[[#All],[Rate]])</f>
        <v>#NAME?</v>
      </c>
    </row>
    <row r="74" spans="1:20" ht="29">
      <c r="A74" s="21">
        <v>2023</v>
      </c>
      <c r="B74" s="21">
        <v>2020</v>
      </c>
      <c r="C74" s="21" t="s">
        <v>17</v>
      </c>
      <c r="D74" s="21" t="s">
        <v>18</v>
      </c>
      <c r="E74" s="21" t="s">
        <v>87</v>
      </c>
      <c r="F74" s="3" t="s">
        <v>88</v>
      </c>
      <c r="G74" s="21" t="s">
        <v>21</v>
      </c>
      <c r="H74" s="21" t="s">
        <v>31</v>
      </c>
      <c r="I74" s="22">
        <v>634600</v>
      </c>
      <c r="J74" s="21">
        <v>634600</v>
      </c>
      <c r="K74" s="21" t="s">
        <v>32</v>
      </c>
      <c r="L74" s="25">
        <v>4.8925619834710696</v>
      </c>
      <c r="M74" s="21" t="b">
        <v>1</v>
      </c>
      <c r="N74" s="21">
        <v>4</v>
      </c>
      <c r="O74" s="27">
        <v>588445.5</v>
      </c>
      <c r="P74" s="21" t="s">
        <v>36</v>
      </c>
      <c r="Q74" s="21" t="s">
        <v>25</v>
      </c>
      <c r="R74" s="23">
        <v>634600</v>
      </c>
      <c r="S74" s="23" t="e" cm="1">
        <f t="array" aca="1" ref="S74" ca="1">Table1[[#This Row],[Nominal TRY]]*_xlfn.XLOOKUP(Table1[[#This Row],[Year]],Table2[[#All],[Year]],Table2[[#All],[Deflator to 2023]])</f>
        <v>#NAME?</v>
      </c>
      <c r="T74" s="24" t="e" cm="1">
        <f t="array" aca="1" ref="T74" ca="1">Table1[[#This Row],[Nominal TRY]]/_xlfn.XLOOKUP(Table1[[#This Row],[Year]],Table3[[#All],[Year]],Table3[[#All],[Rate]])</f>
        <v>#NAME?</v>
      </c>
    </row>
    <row r="75" spans="1:20">
      <c r="A75" s="21">
        <v>2022</v>
      </c>
      <c r="B75" s="21">
        <v>2020</v>
      </c>
      <c r="C75" s="21" t="s">
        <v>17</v>
      </c>
      <c r="D75" s="21" t="s">
        <v>18</v>
      </c>
      <c r="E75" s="21" t="s">
        <v>91</v>
      </c>
      <c r="F75" s="3" t="s">
        <v>92</v>
      </c>
      <c r="G75" s="21" t="s">
        <v>40</v>
      </c>
      <c r="H75" s="21" t="s">
        <v>22</v>
      </c>
      <c r="I75" s="22">
        <v>84882000</v>
      </c>
      <c r="J75" s="21">
        <v>84882000</v>
      </c>
      <c r="K75" s="21" t="s">
        <v>23</v>
      </c>
      <c r="L75" s="21"/>
      <c r="M75" s="21" t="b">
        <v>1</v>
      </c>
      <c r="N75" s="21">
        <v>4</v>
      </c>
      <c r="O75" s="27">
        <v>74889250</v>
      </c>
      <c r="P75" s="21" t="s">
        <v>36</v>
      </c>
      <c r="Q75" s="21" t="s">
        <v>25</v>
      </c>
      <c r="R75" s="23">
        <v>84882000</v>
      </c>
      <c r="S75" s="23" t="e" cm="1">
        <f t="array" aca="1" ref="S75" ca="1">Table1[[#This Row],[Nominal TRY]]*_xlfn.XLOOKUP(Table1[[#This Row],[Year]],Table2[[#All],[Year]],Table2[[#All],[Deflator to 2023]])</f>
        <v>#NAME?</v>
      </c>
      <c r="T75" s="24" t="e" cm="1">
        <f t="array" aca="1" ref="T75" ca="1">Table1[[#This Row],[Nominal TRY]]/_xlfn.XLOOKUP(Table1[[#This Row],[Year]],Table3[[#All],[Year]],Table3[[#All],[Rate]])</f>
        <v>#NAME?</v>
      </c>
    </row>
    <row r="76" spans="1:20">
      <c r="A76" s="21">
        <v>2023</v>
      </c>
      <c r="B76" s="21">
        <v>2020</v>
      </c>
      <c r="C76" s="21" t="s">
        <v>17</v>
      </c>
      <c r="D76" s="21" t="s">
        <v>18</v>
      </c>
      <c r="E76" s="21" t="s">
        <v>91</v>
      </c>
      <c r="F76" s="3" t="s">
        <v>92</v>
      </c>
      <c r="G76" s="21" t="s">
        <v>40</v>
      </c>
      <c r="H76" s="21" t="s">
        <v>22</v>
      </c>
      <c r="I76" s="22">
        <v>144087000</v>
      </c>
      <c r="J76" s="21">
        <v>144087000</v>
      </c>
      <c r="K76" s="21" t="s">
        <v>26</v>
      </c>
      <c r="L76" s="25">
        <v>69.749770269314993</v>
      </c>
      <c r="M76" s="21" t="b">
        <v>1</v>
      </c>
      <c r="N76" s="21">
        <v>4</v>
      </c>
      <c r="O76" s="27">
        <v>74889250</v>
      </c>
      <c r="P76" s="21" t="s">
        <v>36</v>
      </c>
      <c r="Q76" s="21" t="s">
        <v>25</v>
      </c>
      <c r="R76" s="23">
        <v>144087000</v>
      </c>
      <c r="S76" s="23" t="e" cm="1">
        <f t="array" aca="1" ref="S76" ca="1">Table1[[#This Row],[Nominal TRY]]*_xlfn.XLOOKUP(Table1[[#This Row],[Year]],Table2[[#All],[Year]],Table2[[#All],[Deflator to 2023]])</f>
        <v>#NAME?</v>
      </c>
      <c r="T76" s="24" t="e" cm="1">
        <f t="array" aca="1" ref="T76" ca="1">Table1[[#This Row],[Nominal TRY]]/_xlfn.XLOOKUP(Table1[[#This Row],[Year]],Table3[[#All],[Year]],Table3[[#All],[Rate]])</f>
        <v>#NAME?</v>
      </c>
    </row>
    <row r="77" spans="1:20">
      <c r="A77" s="21">
        <v>2020</v>
      </c>
      <c r="B77" s="21">
        <v>2020</v>
      </c>
      <c r="C77" s="21" t="s">
        <v>17</v>
      </c>
      <c r="D77" s="21" t="s">
        <v>18</v>
      </c>
      <c r="E77" s="21" t="s">
        <v>91</v>
      </c>
      <c r="F77" s="3" t="s">
        <v>92</v>
      </c>
      <c r="G77" s="21" t="s">
        <v>40</v>
      </c>
      <c r="H77" s="21" t="s">
        <v>22</v>
      </c>
      <c r="I77" s="22">
        <v>64138000</v>
      </c>
      <c r="J77" s="21">
        <v>64138000</v>
      </c>
      <c r="K77" s="21" t="s">
        <v>23</v>
      </c>
      <c r="L77" s="21">
        <v>-55.486615725221498</v>
      </c>
      <c r="M77" s="21" t="b">
        <v>1</v>
      </c>
      <c r="N77" s="21">
        <v>4</v>
      </c>
      <c r="O77" s="27">
        <v>74889250</v>
      </c>
      <c r="P77" s="21" t="s">
        <v>36</v>
      </c>
      <c r="Q77" s="21" t="s">
        <v>25</v>
      </c>
      <c r="R77" s="23">
        <v>64138000</v>
      </c>
      <c r="S77" s="23" t="e" cm="1">
        <f t="array" aca="1" ref="S77" ca="1">Table1[[#This Row],[Nominal TRY]]*_xlfn.XLOOKUP(Table1[[#This Row],[Year]],Table2[[#All],[Year]],Table2[[#All],[Deflator to 2023]])</f>
        <v>#NAME?</v>
      </c>
      <c r="T77" s="24" t="e" cm="1">
        <f t="array" aca="1" ref="T77" ca="1">Table1[[#This Row],[Nominal TRY]]/_xlfn.XLOOKUP(Table1[[#This Row],[Year]],Table3[[#All],[Year]],Table3[[#All],[Rate]])</f>
        <v>#NAME?</v>
      </c>
    </row>
    <row r="78" spans="1:20">
      <c r="A78" s="21">
        <v>2021</v>
      </c>
      <c r="B78" s="21">
        <v>2020</v>
      </c>
      <c r="C78" s="21" t="s">
        <v>17</v>
      </c>
      <c r="D78" s="21" t="s">
        <v>18</v>
      </c>
      <c r="E78" s="21" t="s">
        <v>71</v>
      </c>
      <c r="F78" s="3" t="s">
        <v>72</v>
      </c>
      <c r="G78" s="21" t="s">
        <v>21</v>
      </c>
      <c r="H78" s="21" t="s">
        <v>22</v>
      </c>
      <c r="I78" s="22">
        <v>57876795</v>
      </c>
      <c r="J78" s="21">
        <v>57876795</v>
      </c>
      <c r="K78" s="21" t="s">
        <v>23</v>
      </c>
      <c r="L78" s="25">
        <v>15.7073070771691</v>
      </c>
      <c r="M78" s="21" t="b">
        <v>1</v>
      </c>
      <c r="N78" s="21">
        <v>4</v>
      </c>
      <c r="O78" s="27">
        <v>140908336.375</v>
      </c>
      <c r="P78" s="21" t="s">
        <v>24</v>
      </c>
      <c r="Q78" s="21" t="s">
        <v>25</v>
      </c>
      <c r="R78" s="23">
        <v>57876795</v>
      </c>
      <c r="S78" s="23" t="e" cm="1">
        <f t="array" aca="1" ref="S78" ca="1">Table1[[#This Row],[Nominal TRY]]*_xlfn.XLOOKUP(Table1[[#This Row],[Year]],Table2[[#All],[Year]],Table2[[#All],[Deflator to 2023]])</f>
        <v>#NAME?</v>
      </c>
      <c r="T78" s="24" t="e" cm="1">
        <f t="array" aca="1" ref="T78" ca="1">Table1[[#This Row],[Nominal TRY]]/_xlfn.XLOOKUP(Table1[[#This Row],[Year]],Table3[[#All],[Year]],Table3[[#All],[Rate]])</f>
        <v>#NAME?</v>
      </c>
    </row>
    <row r="79" spans="1:20">
      <c r="A79" s="21">
        <v>2022</v>
      </c>
      <c r="B79" s="21">
        <v>2020</v>
      </c>
      <c r="C79" s="21" t="s">
        <v>17</v>
      </c>
      <c r="D79" s="21" t="s">
        <v>18</v>
      </c>
      <c r="E79" s="21" t="s">
        <v>71</v>
      </c>
      <c r="F79" s="3" t="s">
        <v>72</v>
      </c>
      <c r="G79" s="21" t="s">
        <v>21</v>
      </c>
      <c r="H79" s="21" t="s">
        <v>22</v>
      </c>
      <c r="I79" s="22">
        <v>28177160</v>
      </c>
      <c r="J79" s="21">
        <v>28177160</v>
      </c>
      <c r="K79" s="21" t="s">
        <v>23</v>
      </c>
      <c r="L79" s="21">
        <v>-51.315272381616801</v>
      </c>
      <c r="M79" s="21" t="b">
        <v>1</v>
      </c>
      <c r="N79" s="21">
        <v>4</v>
      </c>
      <c r="O79" s="27">
        <v>140908336.375</v>
      </c>
      <c r="P79" s="21" t="s">
        <v>24</v>
      </c>
      <c r="Q79" s="21" t="s">
        <v>25</v>
      </c>
      <c r="R79" s="23">
        <v>28177160</v>
      </c>
      <c r="S79" s="23" t="e" cm="1">
        <f t="array" aca="1" ref="S79" ca="1">Table1[[#This Row],[Nominal TRY]]*_xlfn.XLOOKUP(Table1[[#This Row],[Year]],Table2[[#All],[Year]],Table2[[#All],[Deflator to 2023]])</f>
        <v>#NAME?</v>
      </c>
      <c r="T79" s="24" t="e" cm="1">
        <f t="array" aca="1" ref="T79" ca="1">Table1[[#This Row],[Nominal TRY]]/_xlfn.XLOOKUP(Table1[[#This Row],[Year]],Table3[[#All],[Year]],Table3[[#All],[Rate]])</f>
        <v>#NAME?</v>
      </c>
    </row>
    <row r="80" spans="1:20">
      <c r="A80" s="21">
        <v>2023</v>
      </c>
      <c r="B80" s="21">
        <v>2020</v>
      </c>
      <c r="C80" s="21" t="s">
        <v>17</v>
      </c>
      <c r="D80" s="21" t="s">
        <v>18</v>
      </c>
      <c r="E80" s="21" t="s">
        <v>71</v>
      </c>
      <c r="F80" s="3" t="s">
        <v>72</v>
      </c>
      <c r="G80" s="21" t="s">
        <v>21</v>
      </c>
      <c r="H80" s="21" t="s">
        <v>22</v>
      </c>
      <c r="I80" s="22">
        <v>29326405</v>
      </c>
      <c r="J80" s="21">
        <v>29326405</v>
      </c>
      <c r="K80" s="21" t="s">
        <v>23</v>
      </c>
      <c r="L80" s="25">
        <v>4.0786402888012896</v>
      </c>
      <c r="M80" s="21" t="b">
        <v>1</v>
      </c>
      <c r="N80" s="21">
        <v>4</v>
      </c>
      <c r="O80" s="27">
        <v>140908336.375</v>
      </c>
      <c r="P80" s="21" t="s">
        <v>24</v>
      </c>
      <c r="Q80" s="21" t="s">
        <v>25</v>
      </c>
      <c r="R80" s="23">
        <v>29326405</v>
      </c>
      <c r="S80" s="23" t="e" cm="1">
        <f t="array" aca="1" ref="S80" ca="1">Table1[[#This Row],[Nominal TRY]]*_xlfn.XLOOKUP(Table1[[#This Row],[Year]],Table2[[#All],[Year]],Table2[[#All],[Deflator to 2023]])</f>
        <v>#NAME?</v>
      </c>
      <c r="T80" s="24" t="e" cm="1">
        <f t="array" aca="1" ref="T80" ca="1">Table1[[#This Row],[Nominal TRY]]/_xlfn.XLOOKUP(Table1[[#This Row],[Year]],Table3[[#All],[Year]],Table3[[#All],[Rate]])</f>
        <v>#NAME?</v>
      </c>
    </row>
    <row r="81" spans="1:20">
      <c r="A81" s="21">
        <v>2022</v>
      </c>
      <c r="B81" s="21">
        <v>2020</v>
      </c>
      <c r="C81" s="21" t="s">
        <v>17</v>
      </c>
      <c r="D81" s="21" t="s">
        <v>18</v>
      </c>
      <c r="E81" s="21" t="s">
        <v>96</v>
      </c>
      <c r="F81" s="3" t="s">
        <v>97</v>
      </c>
      <c r="G81" s="21" t="s">
        <v>30</v>
      </c>
      <c r="H81" s="21" t="s">
        <v>22</v>
      </c>
      <c r="I81" s="22">
        <v>703716490</v>
      </c>
      <c r="J81" s="21">
        <v>703716490</v>
      </c>
      <c r="K81" s="21" t="s">
        <v>26</v>
      </c>
      <c r="L81" s="21"/>
      <c r="M81" s="21" t="b">
        <v>1</v>
      </c>
      <c r="N81" s="21">
        <v>4</v>
      </c>
      <c r="O81" s="27">
        <v>703716490</v>
      </c>
      <c r="P81" s="21" t="s">
        <v>41</v>
      </c>
      <c r="Q81" s="21" t="s">
        <v>25</v>
      </c>
      <c r="R81" s="23">
        <v>703716490</v>
      </c>
      <c r="S81" s="23" t="e" cm="1">
        <f t="array" aca="1" ref="S81" ca="1">Table1[[#This Row],[Nominal TRY]]*_xlfn.XLOOKUP(Table1[[#This Row],[Year]],Table2[[#All],[Year]],Table2[[#All],[Deflator to 2023]])</f>
        <v>#NAME?</v>
      </c>
      <c r="T81" s="24" t="e" cm="1">
        <f t="array" aca="1" ref="T81" ca="1">Table1[[#This Row],[Nominal TRY]]/_xlfn.XLOOKUP(Table1[[#This Row],[Year]],Table3[[#All],[Year]],Table3[[#All],[Rate]])</f>
        <v>#NAME?</v>
      </c>
    </row>
    <row r="82" spans="1:20">
      <c r="A82" s="21">
        <v>2023</v>
      </c>
      <c r="B82" s="21">
        <v>2020</v>
      </c>
      <c r="C82" s="21" t="s">
        <v>17</v>
      </c>
      <c r="D82" s="21" t="s">
        <v>18</v>
      </c>
      <c r="E82" s="21" t="s">
        <v>96</v>
      </c>
      <c r="F82" s="3" t="s">
        <v>97</v>
      </c>
      <c r="G82" s="21" t="s">
        <v>30</v>
      </c>
      <c r="H82" s="21" t="s">
        <v>22</v>
      </c>
      <c r="I82" s="22">
        <v>703716490</v>
      </c>
      <c r="J82" s="21">
        <v>703716490</v>
      </c>
      <c r="K82" s="21" t="s">
        <v>26</v>
      </c>
      <c r="L82" s="21"/>
      <c r="M82" s="21" t="b">
        <v>1</v>
      </c>
      <c r="N82" s="21">
        <v>4</v>
      </c>
      <c r="O82" s="27">
        <v>703716490</v>
      </c>
      <c r="P82" s="21" t="s">
        <v>41</v>
      </c>
      <c r="Q82" s="21" t="s">
        <v>25</v>
      </c>
      <c r="R82" s="23">
        <v>703716490</v>
      </c>
      <c r="S82" s="23" t="e" cm="1">
        <f t="array" aca="1" ref="S82" ca="1">Table1[[#This Row],[Nominal TRY]]*_xlfn.XLOOKUP(Table1[[#This Row],[Year]],Table2[[#All],[Year]],Table2[[#All],[Deflator to 2023]])</f>
        <v>#NAME?</v>
      </c>
      <c r="T82" s="24" t="e" cm="1">
        <f t="array" aca="1" ref="T82" ca="1">Table1[[#This Row],[Nominal TRY]]/_xlfn.XLOOKUP(Table1[[#This Row],[Year]],Table3[[#All],[Year]],Table3[[#All],[Rate]])</f>
        <v>#NAME?</v>
      </c>
    </row>
    <row r="83" spans="1:20">
      <c r="A83" s="21">
        <v>2020</v>
      </c>
      <c r="B83" s="21">
        <v>2020</v>
      </c>
      <c r="C83" s="21" t="s">
        <v>17</v>
      </c>
      <c r="D83" s="21" t="s">
        <v>18</v>
      </c>
      <c r="E83" s="21" t="s">
        <v>96</v>
      </c>
      <c r="F83" s="3" t="s">
        <v>97</v>
      </c>
      <c r="G83" s="21" t="s">
        <v>30</v>
      </c>
      <c r="H83" s="21" t="s">
        <v>22</v>
      </c>
      <c r="I83" s="22">
        <v>703716490</v>
      </c>
      <c r="J83" s="21">
        <v>703716490</v>
      </c>
      <c r="K83" s="21" t="s">
        <v>26</v>
      </c>
      <c r="L83" s="21"/>
      <c r="M83" s="21" t="b">
        <v>1</v>
      </c>
      <c r="N83" s="21">
        <v>4</v>
      </c>
      <c r="O83" s="27">
        <v>703716490</v>
      </c>
      <c r="P83" s="21" t="s">
        <v>41</v>
      </c>
      <c r="Q83" s="21" t="s">
        <v>25</v>
      </c>
      <c r="R83" s="23">
        <v>703716490</v>
      </c>
      <c r="S83" s="23" t="e" cm="1">
        <f t="array" aca="1" ref="S83" ca="1">Table1[[#This Row],[Nominal TRY]]*_xlfn.XLOOKUP(Table1[[#This Row],[Year]],Table2[[#All],[Year]],Table2[[#All],[Deflator to 2023]])</f>
        <v>#NAME?</v>
      </c>
      <c r="T83" s="24" t="e" cm="1">
        <f t="array" aca="1" ref="T83" ca="1">Table1[[#This Row],[Nominal TRY]]/_xlfn.XLOOKUP(Table1[[#This Row],[Year]],Table3[[#All],[Year]],Table3[[#All],[Rate]])</f>
        <v>#NAME?</v>
      </c>
    </row>
    <row r="84" spans="1:20">
      <c r="A84" s="21">
        <v>2020</v>
      </c>
      <c r="B84" s="21">
        <v>2020</v>
      </c>
      <c r="C84" s="21" t="s">
        <v>17</v>
      </c>
      <c r="D84" s="21" t="s">
        <v>18</v>
      </c>
      <c r="E84" s="21" t="s">
        <v>51</v>
      </c>
      <c r="F84" s="3" t="s">
        <v>52</v>
      </c>
      <c r="G84" s="21" t="s">
        <v>30</v>
      </c>
      <c r="H84" s="21" t="s">
        <v>22</v>
      </c>
      <c r="I84" s="22">
        <v>703716490</v>
      </c>
      <c r="J84" s="21">
        <v>703716490</v>
      </c>
      <c r="K84" s="21" t="s">
        <v>26</v>
      </c>
      <c r="L84" s="21"/>
      <c r="M84" s="21" t="b">
        <v>1</v>
      </c>
      <c r="N84" s="21">
        <v>4</v>
      </c>
      <c r="O84" s="27">
        <v>703716490</v>
      </c>
      <c r="P84" s="21" t="s">
        <v>41</v>
      </c>
      <c r="Q84" s="21" t="s">
        <v>25</v>
      </c>
      <c r="R84" s="23">
        <v>703716490</v>
      </c>
      <c r="S84" s="23" t="e" cm="1">
        <f t="array" aca="1" ref="S84" ca="1">Table1[[#This Row],[Nominal TRY]]*_xlfn.XLOOKUP(Table1[[#This Row],[Year]],Table2[[#All],[Year]],Table2[[#All],[Deflator to 2023]])</f>
        <v>#NAME?</v>
      </c>
      <c r="T84" s="24" t="e" cm="1">
        <f t="array" aca="1" ref="T84" ca="1">Table1[[#This Row],[Nominal TRY]]/_xlfn.XLOOKUP(Table1[[#This Row],[Year]],Table3[[#All],[Year]],Table3[[#All],[Rate]])</f>
        <v>#NAME?</v>
      </c>
    </row>
    <row r="85" spans="1:20">
      <c r="A85" s="21">
        <v>2022</v>
      </c>
      <c r="B85" s="21">
        <v>2020</v>
      </c>
      <c r="C85" s="21" t="s">
        <v>17</v>
      </c>
      <c r="D85" s="21" t="s">
        <v>18</v>
      </c>
      <c r="E85" s="21" t="s">
        <v>38</v>
      </c>
      <c r="F85" s="3" t="s">
        <v>39</v>
      </c>
      <c r="G85" s="21" t="s">
        <v>40</v>
      </c>
      <c r="H85" s="21" t="s">
        <v>22</v>
      </c>
      <c r="I85" s="22">
        <v>703716490</v>
      </c>
      <c r="J85" s="21">
        <v>703716490</v>
      </c>
      <c r="K85" s="21" t="s">
        <v>26</v>
      </c>
      <c r="L85" s="21"/>
      <c r="M85" s="21" t="b">
        <v>1</v>
      </c>
      <c r="N85" s="21">
        <v>4</v>
      </c>
      <c r="O85" s="27">
        <v>703716490</v>
      </c>
      <c r="P85" s="21" t="s">
        <v>41</v>
      </c>
      <c r="Q85" s="21" t="s">
        <v>25</v>
      </c>
      <c r="R85" s="23">
        <v>703716490</v>
      </c>
      <c r="S85" s="23" t="e" cm="1">
        <f t="array" aca="1" ref="S85" ca="1">Table1[[#This Row],[Nominal TRY]]*_xlfn.XLOOKUP(Table1[[#This Row],[Year]],Table2[[#All],[Year]],Table2[[#All],[Deflator to 2023]])</f>
        <v>#NAME?</v>
      </c>
      <c r="T85" s="24" t="e" cm="1">
        <f t="array" aca="1" ref="T85" ca="1">Table1[[#This Row],[Nominal TRY]]/_xlfn.XLOOKUP(Table1[[#This Row],[Year]],Table3[[#All],[Year]],Table3[[#All],[Rate]])</f>
        <v>#NAME?</v>
      </c>
    </row>
    <row r="86" spans="1:20">
      <c r="A86" s="21">
        <v>2023</v>
      </c>
      <c r="B86" s="21">
        <v>2020</v>
      </c>
      <c r="C86" s="21" t="s">
        <v>17</v>
      </c>
      <c r="D86" s="21" t="s">
        <v>18</v>
      </c>
      <c r="E86" s="21" t="s">
        <v>38</v>
      </c>
      <c r="F86" s="3" t="s">
        <v>39</v>
      </c>
      <c r="G86" s="21" t="s">
        <v>40</v>
      </c>
      <c r="H86" s="21" t="s">
        <v>22</v>
      </c>
      <c r="I86" s="22">
        <v>703716490</v>
      </c>
      <c r="J86" s="21">
        <v>703716490</v>
      </c>
      <c r="K86" s="21" t="s">
        <v>26</v>
      </c>
      <c r="L86" s="21"/>
      <c r="M86" s="21" t="b">
        <v>1</v>
      </c>
      <c r="N86" s="21">
        <v>4</v>
      </c>
      <c r="O86" s="27">
        <v>703716490</v>
      </c>
      <c r="P86" s="21" t="s">
        <v>41</v>
      </c>
      <c r="Q86" s="21" t="s">
        <v>25</v>
      </c>
      <c r="R86" s="23">
        <v>703716490</v>
      </c>
      <c r="S86" s="23" t="e" cm="1">
        <f t="array" aca="1" ref="S86" ca="1">Table1[[#This Row],[Nominal TRY]]*_xlfn.XLOOKUP(Table1[[#This Row],[Year]],Table2[[#All],[Year]],Table2[[#All],[Deflator to 2023]])</f>
        <v>#NAME?</v>
      </c>
      <c r="T86" s="24" t="e" cm="1">
        <f t="array" aca="1" ref="T86" ca="1">Table1[[#This Row],[Nominal TRY]]/_xlfn.XLOOKUP(Table1[[#This Row],[Year]],Table3[[#All],[Year]],Table3[[#All],[Rate]])</f>
        <v>#NAME?</v>
      </c>
    </row>
    <row r="87" spans="1:20" ht="29">
      <c r="A87" s="21">
        <v>2020</v>
      </c>
      <c r="B87" s="21">
        <v>2020</v>
      </c>
      <c r="C87" s="21" t="s">
        <v>17</v>
      </c>
      <c r="D87" s="21" t="s">
        <v>18</v>
      </c>
      <c r="E87" s="21" t="s">
        <v>19</v>
      </c>
      <c r="F87" s="3" t="s">
        <v>20</v>
      </c>
      <c r="G87" s="21" t="s">
        <v>21</v>
      </c>
      <c r="H87" s="21" t="s">
        <v>22</v>
      </c>
      <c r="I87" s="22">
        <v>13996378</v>
      </c>
      <c r="J87" s="21">
        <v>13996378</v>
      </c>
      <c r="K87" s="21" t="s">
        <v>23</v>
      </c>
      <c r="L87" s="21">
        <v>-98.011077159780598</v>
      </c>
      <c r="M87" s="21" t="b">
        <v>1</v>
      </c>
      <c r="N87" s="21">
        <v>4</v>
      </c>
      <c r="O87" s="27">
        <v>99912404.875</v>
      </c>
      <c r="P87" s="21" t="s">
        <v>24</v>
      </c>
      <c r="Q87" s="21" t="s">
        <v>25</v>
      </c>
      <c r="R87" s="23">
        <v>13996378</v>
      </c>
      <c r="S87" s="23" t="e" cm="1">
        <f t="array" aca="1" ref="S87" ca="1">Table1[[#This Row],[Nominal TRY]]*_xlfn.XLOOKUP(Table1[[#This Row],[Year]],Table2[[#All],[Year]],Table2[[#All],[Deflator to 2023]])</f>
        <v>#NAME?</v>
      </c>
      <c r="T87" s="24" t="e" cm="1">
        <f t="array" aca="1" ref="T87" ca="1">Table1[[#This Row],[Nominal TRY]]/_xlfn.XLOOKUP(Table1[[#This Row],[Year]],Table3[[#All],[Year]],Table3[[#All],[Rate]])</f>
        <v>#NAME?</v>
      </c>
    </row>
    <row r="88" spans="1:20">
      <c r="A88" s="21">
        <v>2022</v>
      </c>
      <c r="B88" s="21">
        <v>2020</v>
      </c>
      <c r="C88" s="21" t="s">
        <v>17</v>
      </c>
      <c r="D88" s="21" t="s">
        <v>18</v>
      </c>
      <c r="E88" s="21" t="s">
        <v>96</v>
      </c>
      <c r="F88" s="3" t="s">
        <v>97</v>
      </c>
      <c r="G88" s="21" t="s">
        <v>30</v>
      </c>
      <c r="H88" s="21" t="s">
        <v>22</v>
      </c>
      <c r="I88" s="22">
        <v>703716490</v>
      </c>
      <c r="J88" s="21">
        <v>703716490</v>
      </c>
      <c r="K88" s="21" t="s">
        <v>26</v>
      </c>
      <c r="L88" s="21"/>
      <c r="M88" s="21" t="b">
        <v>1</v>
      </c>
      <c r="N88" s="21">
        <v>4</v>
      </c>
      <c r="O88" s="27">
        <v>703716490</v>
      </c>
      <c r="P88" s="21" t="s">
        <v>41</v>
      </c>
      <c r="Q88" s="21" t="s">
        <v>25</v>
      </c>
      <c r="R88" s="23">
        <v>703716490</v>
      </c>
      <c r="S88" s="23" t="e" cm="1">
        <f t="array" aca="1" ref="S88" ca="1">Table1[[#This Row],[Nominal TRY]]*_xlfn.XLOOKUP(Table1[[#This Row],[Year]],Table2[[#All],[Year]],Table2[[#All],[Deflator to 2023]])</f>
        <v>#NAME?</v>
      </c>
      <c r="T88" s="24" t="e" cm="1">
        <f t="array" aca="1" ref="T88" ca="1">Table1[[#This Row],[Nominal TRY]]/_xlfn.XLOOKUP(Table1[[#This Row],[Year]],Table3[[#All],[Year]],Table3[[#All],[Rate]])</f>
        <v>#NAME?</v>
      </c>
    </row>
    <row r="89" spans="1:20">
      <c r="A89" s="21">
        <v>2023</v>
      </c>
      <c r="B89" s="21">
        <v>2020</v>
      </c>
      <c r="C89" s="21" t="s">
        <v>17</v>
      </c>
      <c r="D89" s="21" t="s">
        <v>18</v>
      </c>
      <c r="E89" s="21" t="s">
        <v>96</v>
      </c>
      <c r="F89" s="3" t="s">
        <v>97</v>
      </c>
      <c r="G89" s="21" t="s">
        <v>30</v>
      </c>
      <c r="H89" s="21" t="s">
        <v>22</v>
      </c>
      <c r="I89" s="22">
        <v>703716490</v>
      </c>
      <c r="J89" s="21">
        <v>703716490</v>
      </c>
      <c r="K89" s="21" t="s">
        <v>26</v>
      </c>
      <c r="L89" s="21"/>
      <c r="M89" s="21" t="b">
        <v>1</v>
      </c>
      <c r="N89" s="21">
        <v>4</v>
      </c>
      <c r="O89" s="27">
        <v>703716490</v>
      </c>
      <c r="P89" s="21" t="s">
        <v>41</v>
      </c>
      <c r="Q89" s="21" t="s">
        <v>25</v>
      </c>
      <c r="R89" s="23">
        <v>703716490</v>
      </c>
      <c r="S89" s="23" t="e" cm="1">
        <f t="array" aca="1" ref="S89" ca="1">Table1[[#This Row],[Nominal TRY]]*_xlfn.XLOOKUP(Table1[[#This Row],[Year]],Table2[[#All],[Year]],Table2[[#All],[Deflator to 2023]])</f>
        <v>#NAME?</v>
      </c>
      <c r="T89" s="24" t="e" cm="1">
        <f t="array" aca="1" ref="T89" ca="1">Table1[[#This Row],[Nominal TRY]]/_xlfn.XLOOKUP(Table1[[#This Row],[Year]],Table3[[#All],[Year]],Table3[[#All],[Rate]])</f>
        <v>#NAME?</v>
      </c>
    </row>
    <row r="90" spans="1:20">
      <c r="A90" s="21">
        <v>2020</v>
      </c>
      <c r="B90" s="21">
        <v>2020</v>
      </c>
      <c r="C90" s="21" t="s">
        <v>17</v>
      </c>
      <c r="D90" s="21" t="s">
        <v>18</v>
      </c>
      <c r="E90" s="21" t="s">
        <v>96</v>
      </c>
      <c r="F90" s="3" t="s">
        <v>97</v>
      </c>
      <c r="G90" s="21" t="s">
        <v>30</v>
      </c>
      <c r="H90" s="21" t="s">
        <v>22</v>
      </c>
      <c r="I90" s="22">
        <v>703716490</v>
      </c>
      <c r="J90" s="21">
        <v>703716490</v>
      </c>
      <c r="K90" s="21" t="s">
        <v>26</v>
      </c>
      <c r="L90" s="21"/>
      <c r="M90" s="21" t="b">
        <v>1</v>
      </c>
      <c r="N90" s="21">
        <v>4</v>
      </c>
      <c r="O90" s="27">
        <v>703716490</v>
      </c>
      <c r="P90" s="21" t="s">
        <v>41</v>
      </c>
      <c r="Q90" s="21" t="s">
        <v>25</v>
      </c>
      <c r="R90" s="23">
        <v>703716490</v>
      </c>
      <c r="S90" s="23" t="e" cm="1">
        <f t="array" aca="1" ref="S90" ca="1">Table1[[#This Row],[Nominal TRY]]*_xlfn.XLOOKUP(Table1[[#This Row],[Year]],Table2[[#All],[Year]],Table2[[#All],[Deflator to 2023]])</f>
        <v>#NAME?</v>
      </c>
      <c r="T90" s="24" t="e" cm="1">
        <f t="array" aca="1" ref="T90" ca="1">Table1[[#This Row],[Nominal TRY]]/_xlfn.XLOOKUP(Table1[[#This Row],[Year]],Table3[[#All],[Year]],Table3[[#All],[Rate]])</f>
        <v>#NAME?</v>
      </c>
    </row>
    <row r="91" spans="1:20">
      <c r="A91" s="21">
        <v>2022</v>
      </c>
      <c r="B91" s="21">
        <v>2020</v>
      </c>
      <c r="C91" s="21" t="s">
        <v>17</v>
      </c>
      <c r="D91" s="21" t="s">
        <v>18</v>
      </c>
      <c r="E91" s="21" t="s">
        <v>98</v>
      </c>
      <c r="F91" s="3" t="s">
        <v>99</v>
      </c>
      <c r="G91" s="21" t="s">
        <v>21</v>
      </c>
      <c r="H91" s="21" t="s">
        <v>22</v>
      </c>
      <c r="I91" s="22">
        <v>728210</v>
      </c>
      <c r="J91" s="21">
        <v>728210</v>
      </c>
      <c r="K91" s="21" t="s">
        <v>32</v>
      </c>
      <c r="L91" s="21"/>
      <c r="M91" s="21" t="b">
        <v>1</v>
      </c>
      <c r="N91" s="21">
        <v>4</v>
      </c>
      <c r="O91" s="27">
        <v>16440389.375</v>
      </c>
      <c r="P91" s="21" t="s">
        <v>24</v>
      </c>
      <c r="Q91" s="21" t="s">
        <v>25</v>
      </c>
      <c r="R91" s="23">
        <v>728210</v>
      </c>
      <c r="S91" s="23" t="e" cm="1">
        <f t="array" aca="1" ref="S91" ca="1">Table1[[#This Row],[Nominal TRY]]*_xlfn.XLOOKUP(Table1[[#This Row],[Year]],Table2[[#All],[Year]],Table2[[#All],[Deflator to 2023]])</f>
        <v>#NAME?</v>
      </c>
      <c r="T91" s="24" t="e" cm="1">
        <f t="array" aca="1" ref="T91" ca="1">Table1[[#This Row],[Nominal TRY]]/_xlfn.XLOOKUP(Table1[[#This Row],[Year]],Table3[[#All],[Year]],Table3[[#All],[Rate]])</f>
        <v>#NAME?</v>
      </c>
    </row>
    <row r="92" spans="1:20">
      <c r="A92" s="21">
        <v>2023</v>
      </c>
      <c r="B92" s="21">
        <v>2020</v>
      </c>
      <c r="C92" s="21" t="s">
        <v>17</v>
      </c>
      <c r="D92" s="21" t="s">
        <v>18</v>
      </c>
      <c r="E92" s="21" t="s">
        <v>98</v>
      </c>
      <c r="F92" s="3" t="s">
        <v>99</v>
      </c>
      <c r="G92" s="21" t="s">
        <v>21</v>
      </c>
      <c r="H92" s="21" t="s">
        <v>22</v>
      </c>
      <c r="I92" s="22">
        <v>1357852</v>
      </c>
      <c r="J92" s="21">
        <v>1357852</v>
      </c>
      <c r="K92" s="21" t="s">
        <v>23</v>
      </c>
      <c r="L92" s="25">
        <v>86.464344076571294</v>
      </c>
      <c r="M92" s="21" t="b">
        <v>1</v>
      </c>
      <c r="N92" s="21">
        <v>4</v>
      </c>
      <c r="O92" s="27">
        <v>16440389.375</v>
      </c>
      <c r="P92" s="21" t="s">
        <v>24</v>
      </c>
      <c r="Q92" s="21" t="s">
        <v>25</v>
      </c>
      <c r="R92" s="23">
        <v>1357852</v>
      </c>
      <c r="S92" s="23" t="e" cm="1">
        <f t="array" aca="1" ref="S92" ca="1">Table1[[#This Row],[Nominal TRY]]*_xlfn.XLOOKUP(Table1[[#This Row],[Year]],Table2[[#All],[Year]],Table2[[#All],[Deflator to 2023]])</f>
        <v>#NAME?</v>
      </c>
      <c r="T92" s="24" t="e" cm="1">
        <f t="array" aca="1" ref="T92" ca="1">Table1[[#This Row],[Nominal TRY]]/_xlfn.XLOOKUP(Table1[[#This Row],[Year]],Table3[[#All],[Year]],Table3[[#All],[Rate]])</f>
        <v>#NAME?</v>
      </c>
    </row>
    <row r="93" spans="1:20">
      <c r="A93" s="21">
        <v>2020</v>
      </c>
      <c r="B93" s="21">
        <v>2020</v>
      </c>
      <c r="C93" s="21" t="s">
        <v>17</v>
      </c>
      <c r="D93" s="21" t="s">
        <v>18</v>
      </c>
      <c r="E93" s="21" t="s">
        <v>98</v>
      </c>
      <c r="F93" s="3" t="s">
        <v>99</v>
      </c>
      <c r="G93" s="21" t="s">
        <v>21</v>
      </c>
      <c r="H93" s="21" t="s">
        <v>22</v>
      </c>
      <c r="I93" s="22">
        <v>298702</v>
      </c>
      <c r="J93" s="21">
        <v>298702</v>
      </c>
      <c r="K93" s="21" t="s">
        <v>32</v>
      </c>
      <c r="L93" s="21">
        <v>-78.001873547337993</v>
      </c>
      <c r="M93" s="21" t="b">
        <v>1</v>
      </c>
      <c r="N93" s="21">
        <v>4</v>
      </c>
      <c r="O93" s="27">
        <v>16440389.375</v>
      </c>
      <c r="P93" s="21" t="s">
        <v>24</v>
      </c>
      <c r="Q93" s="21" t="s">
        <v>25</v>
      </c>
      <c r="R93" s="23">
        <v>298702</v>
      </c>
      <c r="S93" s="23" t="e" cm="1">
        <f t="array" aca="1" ref="S93" ca="1">Table1[[#This Row],[Nominal TRY]]*_xlfn.XLOOKUP(Table1[[#This Row],[Year]],Table2[[#All],[Year]],Table2[[#All],[Deflator to 2023]])</f>
        <v>#NAME?</v>
      </c>
      <c r="T93" s="24" t="e" cm="1">
        <f t="array" aca="1" ref="T93" ca="1">Table1[[#This Row],[Nominal TRY]]/_xlfn.XLOOKUP(Table1[[#This Row],[Year]],Table3[[#All],[Year]],Table3[[#All],[Rate]])</f>
        <v>#NAME?</v>
      </c>
    </row>
    <row r="94" spans="1:20">
      <c r="A94" s="21">
        <v>2022</v>
      </c>
      <c r="B94" s="21">
        <v>2020</v>
      </c>
      <c r="C94" s="21" t="s">
        <v>17</v>
      </c>
      <c r="D94" s="21" t="s">
        <v>18</v>
      </c>
      <c r="E94" s="21" t="s">
        <v>101</v>
      </c>
      <c r="F94" s="3" t="s">
        <v>102</v>
      </c>
      <c r="G94" s="21" t="s">
        <v>40</v>
      </c>
      <c r="H94" s="21" t="s">
        <v>22</v>
      </c>
      <c r="I94" s="22">
        <v>4736847000</v>
      </c>
      <c r="J94" s="21">
        <v>4736847000</v>
      </c>
      <c r="K94" s="21" t="s">
        <v>26</v>
      </c>
      <c r="L94" s="21"/>
      <c r="M94" s="21" t="b">
        <v>1</v>
      </c>
      <c r="N94" s="21">
        <v>4</v>
      </c>
      <c r="O94" s="27">
        <v>4078783500</v>
      </c>
      <c r="P94" s="21" t="s">
        <v>24</v>
      </c>
      <c r="Q94" s="21" t="s">
        <v>25</v>
      </c>
      <c r="R94" s="23">
        <v>4736847000</v>
      </c>
      <c r="S94" s="23" t="e" cm="1">
        <f t="array" aca="1" ref="S94" ca="1">Table1[[#This Row],[Nominal TRY]]*_xlfn.XLOOKUP(Table1[[#This Row],[Year]],Table2[[#All],[Year]],Table2[[#All],[Deflator to 2023]])</f>
        <v>#NAME?</v>
      </c>
      <c r="T94" s="24" t="e" cm="1">
        <f t="array" aca="1" ref="T94" ca="1">Table1[[#This Row],[Nominal TRY]]/_xlfn.XLOOKUP(Table1[[#This Row],[Year]],Table3[[#All],[Year]],Table3[[#All],[Rate]])</f>
        <v>#NAME?</v>
      </c>
    </row>
    <row r="95" spans="1:20">
      <c r="A95" s="21">
        <v>2023</v>
      </c>
      <c r="B95" s="21">
        <v>2020</v>
      </c>
      <c r="C95" s="21" t="s">
        <v>17</v>
      </c>
      <c r="D95" s="21" t="s">
        <v>18</v>
      </c>
      <c r="E95" s="21" t="s">
        <v>101</v>
      </c>
      <c r="F95" s="3" t="s">
        <v>102</v>
      </c>
      <c r="G95" s="21" t="s">
        <v>40</v>
      </c>
      <c r="H95" s="21" t="s">
        <v>22</v>
      </c>
      <c r="I95" s="22">
        <v>5550230000</v>
      </c>
      <c r="J95" s="21">
        <v>5550230000</v>
      </c>
      <c r="K95" s="21" t="s">
        <v>26</v>
      </c>
      <c r="L95" s="25">
        <v>17.171401145107701</v>
      </c>
      <c r="M95" s="21" t="b">
        <v>1</v>
      </c>
      <c r="N95" s="21">
        <v>4</v>
      </c>
      <c r="O95" s="27">
        <v>4078783500</v>
      </c>
      <c r="P95" s="21" t="s">
        <v>24</v>
      </c>
      <c r="Q95" s="21" t="s">
        <v>25</v>
      </c>
      <c r="R95" s="23">
        <v>5550230000</v>
      </c>
      <c r="S95" s="23" t="e" cm="1">
        <f t="array" aca="1" ref="S95" ca="1">Table1[[#This Row],[Nominal TRY]]*_xlfn.XLOOKUP(Table1[[#This Row],[Year]],Table2[[#All],[Year]],Table2[[#All],[Deflator to 2023]])</f>
        <v>#NAME?</v>
      </c>
      <c r="T95" s="24" t="e" cm="1">
        <f t="array" aca="1" ref="T95" ca="1">Table1[[#This Row],[Nominal TRY]]/_xlfn.XLOOKUP(Table1[[#This Row],[Year]],Table3[[#All],[Year]],Table3[[#All],[Rate]])</f>
        <v>#NAME?</v>
      </c>
    </row>
    <row r="96" spans="1:20">
      <c r="A96" s="21">
        <v>2020</v>
      </c>
      <c r="B96" s="21">
        <v>2020</v>
      </c>
      <c r="C96" s="21" t="s">
        <v>17</v>
      </c>
      <c r="D96" s="21" t="s">
        <v>18</v>
      </c>
      <c r="E96" s="21" t="s">
        <v>101</v>
      </c>
      <c r="F96" s="3" t="s">
        <v>102</v>
      </c>
      <c r="G96" s="21" t="s">
        <v>40</v>
      </c>
      <c r="H96" s="21" t="s">
        <v>22</v>
      </c>
      <c r="I96" s="22">
        <v>2242754000</v>
      </c>
      <c r="J96" s="21">
        <v>2242754000</v>
      </c>
      <c r="K96" s="21" t="s">
        <v>26</v>
      </c>
      <c r="L96" s="21">
        <v>-59.591692596523004</v>
      </c>
      <c r="M96" s="21" t="b">
        <v>1</v>
      </c>
      <c r="N96" s="21">
        <v>4</v>
      </c>
      <c r="O96" s="27">
        <v>4078783500</v>
      </c>
      <c r="P96" s="21" t="s">
        <v>24</v>
      </c>
      <c r="Q96" s="21" t="s">
        <v>25</v>
      </c>
      <c r="R96" s="23">
        <v>2242754000</v>
      </c>
      <c r="S96" s="23" t="e" cm="1">
        <f t="array" aca="1" ref="S96" ca="1">Table1[[#This Row],[Nominal TRY]]*_xlfn.XLOOKUP(Table1[[#This Row],[Year]],Table2[[#All],[Year]],Table2[[#All],[Deflator to 2023]])</f>
        <v>#NAME?</v>
      </c>
      <c r="T96" s="24" t="e" cm="1">
        <f t="array" aca="1" ref="T96" ca="1">Table1[[#This Row],[Nominal TRY]]/_xlfn.XLOOKUP(Table1[[#This Row],[Year]],Table3[[#All],[Year]],Table3[[#All],[Rate]])</f>
        <v>#NAME?</v>
      </c>
    </row>
    <row r="97" spans="1:20">
      <c r="A97" s="21">
        <v>2022</v>
      </c>
      <c r="B97" s="21">
        <v>2020</v>
      </c>
      <c r="C97" s="21" t="s">
        <v>17</v>
      </c>
      <c r="D97" s="21" t="s">
        <v>18</v>
      </c>
      <c r="E97" s="21" t="s">
        <v>96</v>
      </c>
      <c r="F97" s="3" t="s">
        <v>97</v>
      </c>
      <c r="G97" s="21" t="s">
        <v>30</v>
      </c>
      <c r="H97" s="21" t="s">
        <v>22</v>
      </c>
      <c r="I97" s="22">
        <v>703716490</v>
      </c>
      <c r="J97" s="21">
        <v>703716490</v>
      </c>
      <c r="K97" s="21" t="s">
        <v>26</v>
      </c>
      <c r="L97" s="21"/>
      <c r="M97" s="21" t="b">
        <v>1</v>
      </c>
      <c r="N97" s="21">
        <v>4</v>
      </c>
      <c r="O97" s="27">
        <v>703716490</v>
      </c>
      <c r="P97" s="21" t="s">
        <v>41</v>
      </c>
      <c r="Q97" s="21" t="s">
        <v>25</v>
      </c>
      <c r="R97" s="23">
        <v>703716490</v>
      </c>
      <c r="S97" s="23" t="e" cm="1">
        <f t="array" aca="1" ref="S97" ca="1">Table1[[#This Row],[Nominal TRY]]*_xlfn.XLOOKUP(Table1[[#This Row],[Year]],Table2[[#All],[Year]],Table2[[#All],[Deflator to 2023]])</f>
        <v>#NAME?</v>
      </c>
      <c r="T97" s="24" t="e" cm="1">
        <f t="array" aca="1" ref="T97" ca="1">Table1[[#This Row],[Nominal TRY]]/_xlfn.XLOOKUP(Table1[[#This Row],[Year]],Table3[[#All],[Year]],Table3[[#All],[Rate]])</f>
        <v>#NAME?</v>
      </c>
    </row>
    <row r="98" spans="1:20">
      <c r="A98" s="21">
        <v>2023</v>
      </c>
      <c r="B98" s="21">
        <v>2020</v>
      </c>
      <c r="C98" s="21" t="s">
        <v>17</v>
      </c>
      <c r="D98" s="21" t="s">
        <v>18</v>
      </c>
      <c r="E98" s="21" t="s">
        <v>96</v>
      </c>
      <c r="F98" s="3" t="s">
        <v>97</v>
      </c>
      <c r="G98" s="21" t="s">
        <v>30</v>
      </c>
      <c r="H98" s="21" t="s">
        <v>22</v>
      </c>
      <c r="I98" s="22">
        <v>703716490</v>
      </c>
      <c r="J98" s="21">
        <v>703716490</v>
      </c>
      <c r="K98" s="21" t="s">
        <v>26</v>
      </c>
      <c r="L98" s="21"/>
      <c r="M98" s="21" t="b">
        <v>1</v>
      </c>
      <c r="N98" s="21">
        <v>4</v>
      </c>
      <c r="O98" s="27">
        <v>703716490</v>
      </c>
      <c r="P98" s="21" t="s">
        <v>41</v>
      </c>
      <c r="Q98" s="21" t="s">
        <v>25</v>
      </c>
      <c r="R98" s="23">
        <v>703716490</v>
      </c>
      <c r="S98" s="23" t="e" cm="1">
        <f t="array" aca="1" ref="S98" ca="1">Table1[[#This Row],[Nominal TRY]]*_xlfn.XLOOKUP(Table1[[#This Row],[Year]],Table2[[#All],[Year]],Table2[[#All],[Deflator to 2023]])</f>
        <v>#NAME?</v>
      </c>
      <c r="T98" s="24" t="e" cm="1">
        <f t="array" aca="1" ref="T98" ca="1">Table1[[#This Row],[Nominal TRY]]/_xlfn.XLOOKUP(Table1[[#This Row],[Year]],Table3[[#All],[Year]],Table3[[#All],[Rate]])</f>
        <v>#NAME?</v>
      </c>
    </row>
    <row r="99" spans="1:20">
      <c r="A99" s="21">
        <v>2020</v>
      </c>
      <c r="B99" s="21">
        <v>2020</v>
      </c>
      <c r="C99" s="21" t="s">
        <v>17</v>
      </c>
      <c r="D99" s="21" t="s">
        <v>18</v>
      </c>
      <c r="E99" s="21" t="s">
        <v>96</v>
      </c>
      <c r="F99" s="3" t="s">
        <v>97</v>
      </c>
      <c r="G99" s="21" t="s">
        <v>30</v>
      </c>
      <c r="H99" s="21" t="s">
        <v>22</v>
      </c>
      <c r="I99" s="22">
        <v>703716490</v>
      </c>
      <c r="J99" s="21">
        <v>703716490</v>
      </c>
      <c r="K99" s="21" t="s">
        <v>26</v>
      </c>
      <c r="L99" s="21"/>
      <c r="M99" s="21" t="b">
        <v>1</v>
      </c>
      <c r="N99" s="21">
        <v>4</v>
      </c>
      <c r="O99" s="27">
        <v>703716490</v>
      </c>
      <c r="P99" s="21" t="s">
        <v>41</v>
      </c>
      <c r="Q99" s="21" t="s">
        <v>25</v>
      </c>
      <c r="R99" s="23">
        <v>703716490</v>
      </c>
      <c r="S99" s="23" t="e" cm="1">
        <f t="array" aca="1" ref="S99" ca="1">Table1[[#This Row],[Nominal TRY]]*_xlfn.XLOOKUP(Table1[[#This Row],[Year]],Table2[[#All],[Year]],Table2[[#All],[Deflator to 2023]])</f>
        <v>#NAME?</v>
      </c>
      <c r="T99" s="24" t="e" cm="1">
        <f t="array" aca="1" ref="T99" ca="1">Table1[[#This Row],[Nominal TRY]]/_xlfn.XLOOKUP(Table1[[#This Row],[Year]],Table3[[#All],[Year]],Table3[[#All],[Rate]])</f>
        <v>#NAME?</v>
      </c>
    </row>
    <row r="100" spans="1:20">
      <c r="A100" s="21">
        <v>2022</v>
      </c>
      <c r="B100" s="21">
        <v>2020</v>
      </c>
      <c r="C100" s="21" t="s">
        <v>17</v>
      </c>
      <c r="D100" s="21" t="s">
        <v>18</v>
      </c>
      <c r="E100" s="21" t="s">
        <v>56</v>
      </c>
      <c r="F100" s="3" t="s">
        <v>57</v>
      </c>
      <c r="G100" s="21" t="s">
        <v>21</v>
      </c>
      <c r="H100" s="21" t="s">
        <v>22</v>
      </c>
      <c r="I100" s="22">
        <v>21967616</v>
      </c>
      <c r="J100" s="21">
        <v>21967616</v>
      </c>
      <c r="K100" s="21" t="s">
        <v>23</v>
      </c>
      <c r="L100" s="21">
        <v>-96.878342867878501</v>
      </c>
      <c r="M100" s="21" t="b">
        <v>1</v>
      </c>
      <c r="N100" s="21">
        <v>4</v>
      </c>
      <c r="O100" s="27">
        <v>190634414.125</v>
      </c>
      <c r="P100" s="21" t="s">
        <v>24</v>
      </c>
      <c r="Q100" s="21" t="s">
        <v>25</v>
      </c>
      <c r="R100" s="23">
        <v>21967616</v>
      </c>
      <c r="S100" s="23" t="e" cm="1">
        <f t="array" aca="1" ref="S100" ca="1">Table1[[#This Row],[Nominal TRY]]*_xlfn.XLOOKUP(Table1[[#This Row],[Year]],Table2[[#All],[Year]],Table2[[#All],[Deflator to 2023]])</f>
        <v>#NAME?</v>
      </c>
      <c r="T100" s="24" t="e" cm="1">
        <f t="array" aca="1" ref="T100" ca="1">Table1[[#This Row],[Nominal TRY]]/_xlfn.XLOOKUP(Table1[[#This Row],[Year]],Table3[[#All],[Year]],Table3[[#All],[Rate]])</f>
        <v>#NAME?</v>
      </c>
    </row>
    <row r="101" spans="1:20">
      <c r="A101" s="21">
        <v>2023</v>
      </c>
      <c r="B101" s="21">
        <v>2020</v>
      </c>
      <c r="C101" s="21" t="s">
        <v>17</v>
      </c>
      <c r="D101" s="21" t="s">
        <v>18</v>
      </c>
      <c r="E101" s="21" t="s">
        <v>56</v>
      </c>
      <c r="F101" s="3" t="s">
        <v>57</v>
      </c>
      <c r="G101" s="21" t="s">
        <v>21</v>
      </c>
      <c r="H101" s="21" t="s">
        <v>22</v>
      </c>
      <c r="I101" s="22">
        <v>703716490</v>
      </c>
      <c r="J101" s="21">
        <v>703716490</v>
      </c>
      <c r="K101" s="21" t="s">
        <v>26</v>
      </c>
      <c r="L101" s="25">
        <v>3103.4267623760302</v>
      </c>
      <c r="M101" s="21" t="b">
        <v>1</v>
      </c>
      <c r="N101" s="21">
        <v>4</v>
      </c>
      <c r="O101" s="27">
        <v>190634414.125</v>
      </c>
      <c r="P101" s="21" t="s">
        <v>24</v>
      </c>
      <c r="Q101" s="21" t="s">
        <v>25</v>
      </c>
      <c r="R101" s="23">
        <v>703716490</v>
      </c>
      <c r="S101" s="23" t="e" cm="1">
        <f t="array" aca="1" ref="S101" ca="1">Table1[[#This Row],[Nominal TRY]]*_xlfn.XLOOKUP(Table1[[#This Row],[Year]],Table2[[#All],[Year]],Table2[[#All],[Deflator to 2023]])</f>
        <v>#NAME?</v>
      </c>
      <c r="T101" s="24" t="e" cm="1">
        <f t="array" aca="1" ref="T101" ca="1">Table1[[#This Row],[Nominal TRY]]/_xlfn.XLOOKUP(Table1[[#This Row],[Year]],Table3[[#All],[Year]],Table3[[#All],[Rate]])</f>
        <v>#NAME?</v>
      </c>
    </row>
    <row r="102" spans="1:20">
      <c r="A102" s="21">
        <v>2020</v>
      </c>
      <c r="B102" s="21">
        <v>2020</v>
      </c>
      <c r="C102" s="21" t="s">
        <v>17</v>
      </c>
      <c r="D102" s="21" t="s">
        <v>18</v>
      </c>
      <c r="E102" s="21" t="s">
        <v>56</v>
      </c>
      <c r="F102" s="3" t="s">
        <v>57</v>
      </c>
      <c r="G102" s="21" t="s">
        <v>21</v>
      </c>
      <c r="H102" s="21" t="s">
        <v>22</v>
      </c>
      <c r="I102" s="22">
        <v>19187896</v>
      </c>
      <c r="J102" s="21">
        <v>19187896</v>
      </c>
      <c r="K102" s="21" t="s">
        <v>23</v>
      </c>
      <c r="L102" s="21">
        <v>-97.273348532730793</v>
      </c>
      <c r="M102" s="21" t="b">
        <v>1</v>
      </c>
      <c r="N102" s="21">
        <v>4</v>
      </c>
      <c r="O102" s="27">
        <v>190634414.125</v>
      </c>
      <c r="P102" s="21" t="s">
        <v>24</v>
      </c>
      <c r="Q102" s="21" t="s">
        <v>25</v>
      </c>
      <c r="R102" s="23">
        <v>19187896</v>
      </c>
      <c r="S102" s="23" t="e" cm="1">
        <f t="array" aca="1" ref="S102" ca="1">Table1[[#This Row],[Nominal TRY]]*_xlfn.XLOOKUP(Table1[[#This Row],[Year]],Table2[[#All],[Year]],Table2[[#All],[Deflator to 2023]])</f>
        <v>#NAME?</v>
      </c>
      <c r="T102" s="24" t="e" cm="1">
        <f t="array" aca="1" ref="T102" ca="1">Table1[[#This Row],[Nominal TRY]]/_xlfn.XLOOKUP(Table1[[#This Row],[Year]],Table3[[#All],[Year]],Table3[[#All],[Rate]])</f>
        <v>#NAME?</v>
      </c>
    </row>
    <row r="103" spans="1:20">
      <c r="A103" s="21">
        <v>2022</v>
      </c>
      <c r="B103" s="21">
        <v>2020</v>
      </c>
      <c r="C103" s="21" t="s">
        <v>17</v>
      </c>
      <c r="D103" s="21" t="s">
        <v>18</v>
      </c>
      <c r="E103" s="21" t="s">
        <v>105</v>
      </c>
      <c r="F103" s="3" t="s">
        <v>106</v>
      </c>
      <c r="G103" s="21" t="s">
        <v>107</v>
      </c>
      <c r="H103" s="21" t="s">
        <v>31</v>
      </c>
      <c r="I103" s="22">
        <v>2020583712</v>
      </c>
      <c r="J103" s="21">
        <v>2020583712</v>
      </c>
      <c r="K103" s="21" t="s">
        <v>26</v>
      </c>
      <c r="L103" s="21"/>
      <c r="M103" s="21" t="b">
        <v>1</v>
      </c>
      <c r="N103" s="21">
        <v>4</v>
      </c>
      <c r="O103" s="27">
        <v>1391639889.75</v>
      </c>
      <c r="P103" s="21" t="s">
        <v>24</v>
      </c>
      <c r="Q103" s="21" t="s">
        <v>25</v>
      </c>
      <c r="R103" s="23">
        <v>2020583712</v>
      </c>
      <c r="S103" s="23" t="e" cm="1">
        <f t="array" aca="1" ref="S103" ca="1">Table1[[#This Row],[Nominal TRY]]*_xlfn.XLOOKUP(Table1[[#This Row],[Year]],Table2[[#All],[Year]],Table2[[#All],[Deflator to 2023]])</f>
        <v>#NAME?</v>
      </c>
      <c r="T103" s="24" t="e" cm="1">
        <f t="array" aca="1" ref="T103" ca="1">Table1[[#This Row],[Nominal TRY]]/_xlfn.XLOOKUP(Table1[[#This Row],[Year]],Table3[[#All],[Year]],Table3[[#All],[Rate]])</f>
        <v>#NAME?</v>
      </c>
    </row>
    <row r="104" spans="1:20">
      <c r="A104" s="21">
        <v>2023</v>
      </c>
      <c r="B104" s="21">
        <v>2020</v>
      </c>
      <c r="C104" s="21" t="s">
        <v>17</v>
      </c>
      <c r="D104" s="21" t="s">
        <v>18</v>
      </c>
      <c r="E104" s="21" t="s">
        <v>105</v>
      </c>
      <c r="F104" s="3" t="s">
        <v>106</v>
      </c>
      <c r="G104" s="21" t="s">
        <v>107</v>
      </c>
      <c r="H104" s="21" t="s">
        <v>31</v>
      </c>
      <c r="I104" s="22">
        <v>2489700256</v>
      </c>
      <c r="J104" s="21">
        <v>2489700256</v>
      </c>
      <c r="K104" s="21" t="s">
        <v>26</v>
      </c>
      <c r="L104" s="25">
        <v>23.216882389676499</v>
      </c>
      <c r="M104" s="21" t="b">
        <v>1</v>
      </c>
      <c r="N104" s="21">
        <v>4</v>
      </c>
      <c r="O104" s="27">
        <v>1391639889.75</v>
      </c>
      <c r="P104" s="21" t="s">
        <v>24</v>
      </c>
      <c r="Q104" s="21" t="s">
        <v>25</v>
      </c>
      <c r="R104" s="23">
        <v>2489700256</v>
      </c>
      <c r="S104" s="23" t="e" cm="1">
        <f t="array" aca="1" ref="S104" ca="1">Table1[[#This Row],[Nominal TRY]]*_xlfn.XLOOKUP(Table1[[#This Row],[Year]],Table2[[#All],[Year]],Table2[[#All],[Deflator to 2023]])</f>
        <v>#NAME?</v>
      </c>
      <c r="T104" s="24" t="e" cm="1">
        <f t="array" aca="1" ref="T104" ca="1">Table1[[#This Row],[Nominal TRY]]/_xlfn.XLOOKUP(Table1[[#This Row],[Year]],Table3[[#All],[Year]],Table3[[#All],[Rate]])</f>
        <v>#NAME?</v>
      </c>
    </row>
    <row r="105" spans="1:20">
      <c r="A105" s="21">
        <v>2020</v>
      </c>
      <c r="B105" s="21">
        <v>2020</v>
      </c>
      <c r="C105" s="21" t="s">
        <v>17</v>
      </c>
      <c r="D105" s="21" t="s">
        <v>18</v>
      </c>
      <c r="E105" s="21" t="s">
        <v>105</v>
      </c>
      <c r="F105" s="3" t="s">
        <v>106</v>
      </c>
      <c r="G105" s="21" t="s">
        <v>107</v>
      </c>
      <c r="H105" s="21" t="s">
        <v>31</v>
      </c>
      <c r="I105" s="22">
        <v>816577178</v>
      </c>
      <c r="J105" s="21">
        <v>816577178</v>
      </c>
      <c r="K105" s="21" t="s">
        <v>26</v>
      </c>
      <c r="L105" s="21">
        <v>-67.201787603463202</v>
      </c>
      <c r="M105" s="21" t="b">
        <v>1</v>
      </c>
      <c r="N105" s="21">
        <v>4</v>
      </c>
      <c r="O105" s="27">
        <v>1391639889.75</v>
      </c>
      <c r="P105" s="21" t="s">
        <v>24</v>
      </c>
      <c r="Q105" s="21" t="s">
        <v>25</v>
      </c>
      <c r="R105" s="23">
        <v>816577178</v>
      </c>
      <c r="S105" s="23" t="e" cm="1">
        <f t="array" aca="1" ref="S105" ca="1">Table1[[#This Row],[Nominal TRY]]*_xlfn.XLOOKUP(Table1[[#This Row],[Year]],Table2[[#All],[Year]],Table2[[#All],[Deflator to 2023]])</f>
        <v>#NAME?</v>
      </c>
      <c r="T105" s="24" t="e" cm="1">
        <f t="array" aca="1" ref="T105" ca="1">Table1[[#This Row],[Nominal TRY]]/_xlfn.XLOOKUP(Table1[[#This Row],[Year]],Table3[[#All],[Year]],Table3[[#All],[Rate]])</f>
        <v>#NAME?</v>
      </c>
    </row>
    <row r="106" spans="1:20">
      <c r="A106" s="21">
        <v>2022</v>
      </c>
      <c r="B106" s="21">
        <v>2020</v>
      </c>
      <c r="C106" s="21" t="s">
        <v>17</v>
      </c>
      <c r="D106" s="21" t="s">
        <v>18</v>
      </c>
      <c r="E106" s="21" t="s">
        <v>56</v>
      </c>
      <c r="F106" s="3" t="s">
        <v>57</v>
      </c>
      <c r="G106" s="21" t="s">
        <v>21</v>
      </c>
      <c r="H106" s="21" t="s">
        <v>22</v>
      </c>
      <c r="I106" s="22">
        <v>2854505</v>
      </c>
      <c r="J106" s="21">
        <v>2854505</v>
      </c>
      <c r="K106" s="21" t="s">
        <v>23</v>
      </c>
      <c r="L106" s="21">
        <v>-85.123408006797604</v>
      </c>
      <c r="M106" s="21" t="b">
        <v>1</v>
      </c>
      <c r="N106" s="21">
        <v>4</v>
      </c>
      <c r="O106" s="27">
        <v>190634414.125</v>
      </c>
      <c r="P106" s="21" t="s">
        <v>24</v>
      </c>
      <c r="Q106" s="21" t="s">
        <v>25</v>
      </c>
      <c r="R106" s="23">
        <v>2854505</v>
      </c>
      <c r="S106" s="23" t="e" cm="1">
        <f t="array" aca="1" ref="S106" ca="1">Table1[[#This Row],[Nominal TRY]]*_xlfn.XLOOKUP(Table1[[#This Row],[Year]],Table2[[#All],[Year]],Table2[[#All],[Deflator to 2023]])</f>
        <v>#NAME?</v>
      </c>
      <c r="T106" s="24" t="e" cm="1">
        <f t="array" aca="1" ref="T106" ca="1">Table1[[#This Row],[Nominal TRY]]/_xlfn.XLOOKUP(Table1[[#This Row],[Year]],Table3[[#All],[Year]],Table3[[#All],[Rate]])</f>
        <v>#NAME?</v>
      </c>
    </row>
    <row r="107" spans="1:20">
      <c r="A107" s="21">
        <v>2023</v>
      </c>
      <c r="B107" s="21">
        <v>2020</v>
      </c>
      <c r="C107" s="21" t="s">
        <v>17</v>
      </c>
      <c r="D107" s="21" t="s">
        <v>18</v>
      </c>
      <c r="E107" s="21" t="s">
        <v>56</v>
      </c>
      <c r="F107" s="3" t="s">
        <v>57</v>
      </c>
      <c r="G107" s="21" t="s">
        <v>21</v>
      </c>
      <c r="H107" s="21" t="s">
        <v>22</v>
      </c>
      <c r="I107" s="22">
        <v>703716490</v>
      </c>
      <c r="J107" s="21">
        <v>703716490</v>
      </c>
      <c r="K107" s="21" t="s">
        <v>26</v>
      </c>
      <c r="L107" s="25">
        <v>24552.837882575001</v>
      </c>
      <c r="M107" s="21" t="b">
        <v>1</v>
      </c>
      <c r="N107" s="21">
        <v>4</v>
      </c>
      <c r="O107" s="27">
        <v>190634414.125</v>
      </c>
      <c r="P107" s="21" t="s">
        <v>24</v>
      </c>
      <c r="Q107" s="21" t="s">
        <v>25</v>
      </c>
      <c r="R107" s="23">
        <v>703716490</v>
      </c>
      <c r="S107" s="23" t="e" cm="1">
        <f t="array" aca="1" ref="S107" ca="1">Table1[[#This Row],[Nominal TRY]]*_xlfn.XLOOKUP(Table1[[#This Row],[Year]],Table2[[#All],[Year]],Table2[[#All],[Deflator to 2023]])</f>
        <v>#NAME?</v>
      </c>
      <c r="T107" s="24" t="e" cm="1">
        <f t="array" aca="1" ref="T107" ca="1">Table1[[#This Row],[Nominal TRY]]/_xlfn.XLOOKUP(Table1[[#This Row],[Year]],Table3[[#All],[Year]],Table3[[#All],[Rate]])</f>
        <v>#NAME?</v>
      </c>
    </row>
    <row r="108" spans="1:20">
      <c r="A108" s="21">
        <v>2020</v>
      </c>
      <c r="B108" s="21">
        <v>2020</v>
      </c>
      <c r="C108" s="21" t="s">
        <v>17</v>
      </c>
      <c r="D108" s="21" t="s">
        <v>18</v>
      </c>
      <c r="E108" s="21" t="s">
        <v>56</v>
      </c>
      <c r="F108" s="3" t="s">
        <v>57</v>
      </c>
      <c r="G108" s="21" t="s">
        <v>21</v>
      </c>
      <c r="H108" s="21" t="s">
        <v>22</v>
      </c>
      <c r="I108" s="22">
        <v>2265444</v>
      </c>
      <c r="J108" s="21">
        <v>2265444</v>
      </c>
      <c r="K108" s="21" t="s">
        <v>23</v>
      </c>
      <c r="L108" s="21">
        <v>-99.678074333599795</v>
      </c>
      <c r="M108" s="21" t="b">
        <v>1</v>
      </c>
      <c r="N108" s="21">
        <v>4</v>
      </c>
      <c r="O108" s="27">
        <v>190634414.125</v>
      </c>
      <c r="P108" s="21" t="s">
        <v>24</v>
      </c>
      <c r="Q108" s="21" t="s">
        <v>25</v>
      </c>
      <c r="R108" s="23">
        <v>2265444</v>
      </c>
      <c r="S108" s="23" t="e" cm="1">
        <f t="array" aca="1" ref="S108" ca="1">Table1[[#This Row],[Nominal TRY]]*_xlfn.XLOOKUP(Table1[[#This Row],[Year]],Table2[[#All],[Year]],Table2[[#All],[Deflator to 2023]])</f>
        <v>#NAME?</v>
      </c>
      <c r="T108" s="24" t="e" cm="1">
        <f t="array" aca="1" ref="T108" ca="1">Table1[[#This Row],[Nominal TRY]]/_xlfn.XLOOKUP(Table1[[#This Row],[Year]],Table3[[#All],[Year]],Table3[[#All],[Rate]])</f>
        <v>#NAME?</v>
      </c>
    </row>
    <row r="109" spans="1:20">
      <c r="A109" s="21">
        <v>2022</v>
      </c>
      <c r="B109" s="21">
        <v>2020</v>
      </c>
      <c r="C109" s="21" t="s">
        <v>17</v>
      </c>
      <c r="D109" s="21" t="s">
        <v>18</v>
      </c>
      <c r="E109" s="21" t="s">
        <v>51</v>
      </c>
      <c r="F109" s="3" t="s">
        <v>52</v>
      </c>
      <c r="G109" s="21" t="s">
        <v>30</v>
      </c>
      <c r="H109" s="21" t="s">
        <v>22</v>
      </c>
      <c r="I109" s="22">
        <v>703716490</v>
      </c>
      <c r="J109" s="21">
        <v>703716490</v>
      </c>
      <c r="K109" s="21" t="s">
        <v>26</v>
      </c>
      <c r="L109" s="21"/>
      <c r="M109" s="21" t="b">
        <v>1</v>
      </c>
      <c r="N109" s="21">
        <v>4</v>
      </c>
      <c r="O109" s="27">
        <v>703716490</v>
      </c>
      <c r="P109" s="21" t="s">
        <v>41</v>
      </c>
      <c r="Q109" s="21" t="s">
        <v>25</v>
      </c>
      <c r="R109" s="23">
        <v>703716490</v>
      </c>
      <c r="S109" s="23" t="e" cm="1">
        <f t="array" aca="1" ref="S109" ca="1">Table1[[#This Row],[Nominal TRY]]*_xlfn.XLOOKUP(Table1[[#This Row],[Year]],Table2[[#All],[Year]],Table2[[#All],[Deflator to 2023]])</f>
        <v>#NAME?</v>
      </c>
      <c r="T109" s="24" t="e" cm="1">
        <f t="array" aca="1" ref="T109" ca="1">Table1[[#This Row],[Nominal TRY]]/_xlfn.XLOOKUP(Table1[[#This Row],[Year]],Table3[[#All],[Year]],Table3[[#All],[Rate]])</f>
        <v>#NAME?</v>
      </c>
    </row>
    <row r="110" spans="1:20">
      <c r="A110" s="21">
        <v>2023</v>
      </c>
      <c r="B110" s="21">
        <v>2020</v>
      </c>
      <c r="C110" s="21" t="s">
        <v>17</v>
      </c>
      <c r="D110" s="21" t="s">
        <v>18</v>
      </c>
      <c r="E110" s="21" t="s">
        <v>51</v>
      </c>
      <c r="F110" s="3" t="s">
        <v>52</v>
      </c>
      <c r="G110" s="21" t="s">
        <v>30</v>
      </c>
      <c r="H110" s="21" t="s">
        <v>22</v>
      </c>
      <c r="I110" s="22">
        <v>703716490</v>
      </c>
      <c r="J110" s="21">
        <v>703716490</v>
      </c>
      <c r="K110" s="21" t="s">
        <v>26</v>
      </c>
      <c r="L110" s="21"/>
      <c r="M110" s="21" t="b">
        <v>1</v>
      </c>
      <c r="N110" s="21">
        <v>4</v>
      </c>
      <c r="O110" s="27">
        <v>703716490</v>
      </c>
      <c r="P110" s="21" t="s">
        <v>41</v>
      </c>
      <c r="Q110" s="21" t="s">
        <v>25</v>
      </c>
      <c r="R110" s="23">
        <v>703716490</v>
      </c>
      <c r="S110" s="23" t="e" cm="1">
        <f t="array" aca="1" ref="S110" ca="1">Table1[[#This Row],[Nominal TRY]]*_xlfn.XLOOKUP(Table1[[#This Row],[Year]],Table2[[#All],[Year]],Table2[[#All],[Deflator to 2023]])</f>
        <v>#NAME?</v>
      </c>
      <c r="T110" s="24" t="e" cm="1">
        <f t="array" aca="1" ref="T110" ca="1">Table1[[#This Row],[Nominal TRY]]/_xlfn.XLOOKUP(Table1[[#This Row],[Year]],Table3[[#All],[Year]],Table3[[#All],[Rate]])</f>
        <v>#NAME?</v>
      </c>
    </row>
    <row r="111" spans="1:20">
      <c r="A111" s="21">
        <v>2020</v>
      </c>
      <c r="B111" s="21">
        <v>2020</v>
      </c>
      <c r="C111" s="21" t="s">
        <v>17</v>
      </c>
      <c r="D111" s="21" t="s">
        <v>18</v>
      </c>
      <c r="E111" s="21" t="s">
        <v>51</v>
      </c>
      <c r="F111" s="3" t="s">
        <v>52</v>
      </c>
      <c r="G111" s="21" t="s">
        <v>30</v>
      </c>
      <c r="H111" s="21" t="s">
        <v>22</v>
      </c>
      <c r="I111" s="22">
        <v>703716490</v>
      </c>
      <c r="J111" s="21">
        <v>703716490</v>
      </c>
      <c r="K111" s="21" t="s">
        <v>26</v>
      </c>
      <c r="L111" s="21"/>
      <c r="M111" s="21" t="b">
        <v>1</v>
      </c>
      <c r="N111" s="21">
        <v>4</v>
      </c>
      <c r="O111" s="27">
        <v>703716490</v>
      </c>
      <c r="P111" s="21" t="s">
        <v>41</v>
      </c>
      <c r="Q111" s="21" t="s">
        <v>25</v>
      </c>
      <c r="R111" s="23">
        <v>703716490</v>
      </c>
      <c r="S111" s="23" t="e" cm="1">
        <f t="array" aca="1" ref="S111" ca="1">Table1[[#This Row],[Nominal TRY]]*_xlfn.XLOOKUP(Table1[[#This Row],[Year]],Table2[[#All],[Year]],Table2[[#All],[Deflator to 2023]])</f>
        <v>#NAME?</v>
      </c>
      <c r="T111" s="24" t="e" cm="1">
        <f t="array" aca="1" ref="T111" ca="1">Table1[[#This Row],[Nominal TRY]]/_xlfn.XLOOKUP(Table1[[#This Row],[Year]],Table3[[#All],[Year]],Table3[[#All],[Rate]])</f>
        <v>#NAME?</v>
      </c>
    </row>
    <row r="112" spans="1:20">
      <c r="A112" s="21">
        <v>2022</v>
      </c>
      <c r="B112" s="21">
        <v>2020</v>
      </c>
      <c r="C112" s="21" t="s">
        <v>17</v>
      </c>
      <c r="D112" s="21" t="s">
        <v>18</v>
      </c>
      <c r="E112" s="21" t="s">
        <v>78</v>
      </c>
      <c r="F112" s="3" t="s">
        <v>79</v>
      </c>
      <c r="G112" s="21" t="s">
        <v>61</v>
      </c>
      <c r="H112" s="21" t="s">
        <v>31</v>
      </c>
      <c r="I112" s="22">
        <v>635958851</v>
      </c>
      <c r="J112" s="21">
        <v>635958851</v>
      </c>
      <c r="K112" s="21" t="s">
        <v>26</v>
      </c>
      <c r="L112" s="21">
        <v>-30.9617349166286</v>
      </c>
      <c r="M112" s="21" t="b">
        <v>1</v>
      </c>
      <c r="N112" s="21">
        <v>4</v>
      </c>
      <c r="O112" s="27">
        <v>738429122.5</v>
      </c>
      <c r="P112" s="21" t="s">
        <v>36</v>
      </c>
      <c r="Q112" s="21" t="s">
        <v>25</v>
      </c>
      <c r="R112" s="23">
        <v>635958851</v>
      </c>
      <c r="S112" s="23" t="e" cm="1">
        <f t="array" aca="1" ref="S112" ca="1">Table1[[#This Row],[Nominal TRY]]*_xlfn.XLOOKUP(Table1[[#This Row],[Year]],Table2[[#All],[Year]],Table2[[#All],[Deflator to 2023]])</f>
        <v>#NAME?</v>
      </c>
      <c r="T112" s="24" t="e" cm="1">
        <f t="array" aca="1" ref="T112" ca="1">Table1[[#This Row],[Nominal TRY]]/_xlfn.XLOOKUP(Table1[[#This Row],[Year]],Table3[[#All],[Year]],Table3[[#All],[Rate]])</f>
        <v>#NAME?</v>
      </c>
    </row>
    <row r="113" spans="1:20">
      <c r="A113" s="21">
        <v>2023</v>
      </c>
      <c r="B113" s="21">
        <v>2020</v>
      </c>
      <c r="C113" s="21" t="s">
        <v>17</v>
      </c>
      <c r="D113" s="21" t="s">
        <v>18</v>
      </c>
      <c r="E113" s="21" t="s">
        <v>78</v>
      </c>
      <c r="F113" s="3" t="s">
        <v>79</v>
      </c>
      <c r="G113" s="21" t="s">
        <v>61</v>
      </c>
      <c r="H113" s="21" t="s">
        <v>31</v>
      </c>
      <c r="I113" s="22">
        <v>703716490</v>
      </c>
      <c r="J113" s="21">
        <v>703716490</v>
      </c>
      <c r="K113" s="21" t="s">
        <v>26</v>
      </c>
      <c r="L113" s="25">
        <v>10.6544061606275</v>
      </c>
      <c r="M113" s="21" t="b">
        <v>1</v>
      </c>
      <c r="N113" s="21">
        <v>4</v>
      </c>
      <c r="O113" s="27">
        <v>738429122.5</v>
      </c>
      <c r="P113" s="21" t="s">
        <v>36</v>
      </c>
      <c r="Q113" s="21" t="s">
        <v>25</v>
      </c>
      <c r="R113" s="23">
        <v>703716490</v>
      </c>
      <c r="S113" s="23" t="e" cm="1">
        <f t="array" aca="1" ref="S113" ca="1">Table1[[#This Row],[Nominal TRY]]*_xlfn.XLOOKUP(Table1[[#This Row],[Year]],Table2[[#All],[Year]],Table2[[#All],[Deflator to 2023]])</f>
        <v>#NAME?</v>
      </c>
      <c r="T113" s="24" t="e" cm="1">
        <f t="array" aca="1" ref="T113" ca="1">Table1[[#This Row],[Nominal TRY]]/_xlfn.XLOOKUP(Table1[[#This Row],[Year]],Table3[[#All],[Year]],Table3[[#All],[Rate]])</f>
        <v>#NAME?</v>
      </c>
    </row>
    <row r="114" spans="1:20">
      <c r="A114" s="21">
        <v>2020</v>
      </c>
      <c r="B114" s="21">
        <v>2020</v>
      </c>
      <c r="C114" s="21" t="s">
        <v>17</v>
      </c>
      <c r="D114" s="21" t="s">
        <v>18</v>
      </c>
      <c r="E114" s="21" t="s">
        <v>78</v>
      </c>
      <c r="F114" s="3" t="s">
        <v>79</v>
      </c>
      <c r="G114" s="21" t="s">
        <v>61</v>
      </c>
      <c r="H114" s="21" t="s">
        <v>31</v>
      </c>
      <c r="I114" s="22">
        <v>578831355</v>
      </c>
      <c r="J114" s="21">
        <v>578831355</v>
      </c>
      <c r="K114" s="21" t="s">
        <v>26</v>
      </c>
      <c r="L114" s="21">
        <v>-17.7465125195517</v>
      </c>
      <c r="M114" s="21" t="b">
        <v>1</v>
      </c>
      <c r="N114" s="21">
        <v>4</v>
      </c>
      <c r="O114" s="27">
        <v>738429122.5</v>
      </c>
      <c r="P114" s="21" t="s">
        <v>36</v>
      </c>
      <c r="Q114" s="21" t="s">
        <v>25</v>
      </c>
      <c r="R114" s="23">
        <v>578831355</v>
      </c>
      <c r="S114" s="23" t="e" cm="1">
        <f t="array" aca="1" ref="S114" ca="1">Table1[[#This Row],[Nominal TRY]]*_xlfn.XLOOKUP(Table1[[#This Row],[Year]],Table2[[#All],[Year]],Table2[[#All],[Deflator to 2023]])</f>
        <v>#NAME?</v>
      </c>
      <c r="T114" s="24" t="e" cm="1">
        <f t="array" aca="1" ref="T114" ca="1">Table1[[#This Row],[Nominal TRY]]/_xlfn.XLOOKUP(Table1[[#This Row],[Year]],Table3[[#All],[Year]],Table3[[#All],[Rate]])</f>
        <v>#NAME?</v>
      </c>
    </row>
    <row r="115" spans="1:20">
      <c r="A115" s="21">
        <v>2022</v>
      </c>
      <c r="B115" s="21">
        <v>2020</v>
      </c>
      <c r="C115" s="21" t="s">
        <v>17</v>
      </c>
      <c r="D115" s="21" t="s">
        <v>18</v>
      </c>
      <c r="E115" s="21" t="s">
        <v>28</v>
      </c>
      <c r="F115" s="3" t="s">
        <v>29</v>
      </c>
      <c r="G115" s="21" t="s">
        <v>30</v>
      </c>
      <c r="H115" s="21" t="s">
        <v>31</v>
      </c>
      <c r="I115" s="22">
        <v>6204</v>
      </c>
      <c r="J115" s="21">
        <v>6204</v>
      </c>
      <c r="K115" s="21" t="s">
        <v>32</v>
      </c>
      <c r="L115" s="25">
        <v>32.9903536977491</v>
      </c>
      <c r="M115" s="21" t="b">
        <v>1</v>
      </c>
      <c r="N115" s="21">
        <v>4</v>
      </c>
      <c r="O115" s="28">
        <v>64491.166666666599</v>
      </c>
      <c r="P115" s="21" t="s">
        <v>24</v>
      </c>
      <c r="Q115" s="21" t="s">
        <v>25</v>
      </c>
      <c r="R115" s="23">
        <v>6204</v>
      </c>
      <c r="S115" s="23" t="e" cm="1">
        <f t="array" aca="1" ref="S115" ca="1">Table1[[#This Row],[Nominal TRY]]*_xlfn.XLOOKUP(Table1[[#This Row],[Year]],Table2[[#All],[Year]],Table2[[#All],[Deflator to 2023]])</f>
        <v>#NAME?</v>
      </c>
      <c r="T115" s="24" t="e" cm="1">
        <f t="array" aca="1" ref="T115" ca="1">Table1[[#This Row],[Nominal TRY]]/_xlfn.XLOOKUP(Table1[[#This Row],[Year]],Table3[[#All],[Year]],Table3[[#All],[Rate]])</f>
        <v>#NAME?</v>
      </c>
    </row>
    <row r="116" spans="1:20">
      <c r="A116" s="21">
        <v>2023</v>
      </c>
      <c r="B116" s="21">
        <v>2020</v>
      </c>
      <c r="C116" s="21" t="s">
        <v>17</v>
      </c>
      <c r="D116" s="21" t="s">
        <v>18</v>
      </c>
      <c r="E116" s="21" t="s">
        <v>28</v>
      </c>
      <c r="F116" s="3" t="s">
        <v>29</v>
      </c>
      <c r="G116" s="21" t="s">
        <v>30</v>
      </c>
      <c r="H116" s="21" t="s">
        <v>31</v>
      </c>
      <c r="I116" s="22">
        <v>6497</v>
      </c>
      <c r="J116" s="21">
        <v>6497</v>
      </c>
      <c r="K116" s="21" t="s">
        <v>32</v>
      </c>
      <c r="L116" s="25">
        <v>4.7227595099935398</v>
      </c>
      <c r="M116" s="21" t="b">
        <v>1</v>
      </c>
      <c r="N116" s="21">
        <v>4</v>
      </c>
      <c r="O116" s="28">
        <v>64491.166666666599</v>
      </c>
      <c r="P116" s="21" t="s">
        <v>24</v>
      </c>
      <c r="Q116" s="21" t="s">
        <v>25</v>
      </c>
      <c r="R116" s="23">
        <v>6497</v>
      </c>
      <c r="S116" s="23" t="e" cm="1">
        <f t="array" aca="1" ref="S116" ca="1">Table1[[#This Row],[Nominal TRY]]*_xlfn.XLOOKUP(Table1[[#This Row],[Year]],Table2[[#All],[Year]],Table2[[#All],[Deflator to 2023]])</f>
        <v>#NAME?</v>
      </c>
      <c r="T116" s="24" t="e" cm="1">
        <f t="array" aca="1" ref="T116" ca="1">Table1[[#This Row],[Nominal TRY]]/_xlfn.XLOOKUP(Table1[[#This Row],[Year]],Table3[[#All],[Year]],Table3[[#All],[Rate]])</f>
        <v>#NAME?</v>
      </c>
    </row>
    <row r="117" spans="1:20">
      <c r="A117" s="21">
        <v>2020</v>
      </c>
      <c r="B117" s="21">
        <v>2020</v>
      </c>
      <c r="C117" s="21" t="s">
        <v>17</v>
      </c>
      <c r="D117" s="21" t="s">
        <v>18</v>
      </c>
      <c r="E117" s="21" t="s">
        <v>28</v>
      </c>
      <c r="F117" s="3" t="s">
        <v>29</v>
      </c>
      <c r="G117" s="21" t="s">
        <v>30</v>
      </c>
      <c r="H117" s="21" t="s">
        <v>31</v>
      </c>
      <c r="I117" s="22">
        <v>6977</v>
      </c>
      <c r="J117" s="21">
        <v>6977</v>
      </c>
      <c r="K117" s="21" t="s">
        <v>32</v>
      </c>
      <c r="L117" s="25">
        <v>7.3880252424195696</v>
      </c>
      <c r="M117" s="21" t="b">
        <v>1</v>
      </c>
      <c r="N117" s="21">
        <v>4</v>
      </c>
      <c r="O117" s="28">
        <v>64491.166666666599</v>
      </c>
      <c r="P117" s="21" t="s">
        <v>24</v>
      </c>
      <c r="Q117" s="21" t="s">
        <v>25</v>
      </c>
      <c r="R117" s="23">
        <v>6977</v>
      </c>
      <c r="S117" s="23" t="e" cm="1">
        <f t="array" aca="1" ref="S117" ca="1">Table1[[#This Row],[Nominal TRY]]*_xlfn.XLOOKUP(Table1[[#This Row],[Year]],Table2[[#All],[Year]],Table2[[#All],[Deflator to 2023]])</f>
        <v>#NAME?</v>
      </c>
      <c r="T117" s="24" t="e" cm="1">
        <f t="array" aca="1" ref="T117" ca="1">Table1[[#This Row],[Nominal TRY]]/_xlfn.XLOOKUP(Table1[[#This Row],[Year]],Table3[[#All],[Year]],Table3[[#All],[Rate]])</f>
        <v>#NAME?</v>
      </c>
    </row>
    <row r="118" spans="1:20" ht="29">
      <c r="A118" s="21">
        <v>2022</v>
      </c>
      <c r="B118" s="21">
        <v>2020</v>
      </c>
      <c r="C118" s="21" t="s">
        <v>17</v>
      </c>
      <c r="D118" s="21" t="s">
        <v>18</v>
      </c>
      <c r="E118" s="21" t="s">
        <v>114</v>
      </c>
      <c r="F118" s="3" t="s">
        <v>115</v>
      </c>
      <c r="G118" s="21" t="s">
        <v>21</v>
      </c>
      <c r="H118" s="21" t="s">
        <v>22</v>
      </c>
      <c r="I118" s="22">
        <v>703716490</v>
      </c>
      <c r="J118" s="21">
        <v>703716490</v>
      </c>
      <c r="K118" s="21" t="s">
        <v>26</v>
      </c>
      <c r="L118" s="21"/>
      <c r="M118" s="21" t="b">
        <v>1</v>
      </c>
      <c r="N118" s="21">
        <v>4</v>
      </c>
      <c r="O118" s="27">
        <v>351976579.75</v>
      </c>
      <c r="P118" s="21" t="s">
        <v>24</v>
      </c>
      <c r="Q118" s="21" t="s">
        <v>25</v>
      </c>
      <c r="R118" s="23">
        <v>703716490</v>
      </c>
      <c r="S118" s="23" t="e" cm="1">
        <f t="array" aca="1" ref="S118" ca="1">Table1[[#This Row],[Nominal TRY]]*_xlfn.XLOOKUP(Table1[[#This Row],[Year]],Table2[[#All],[Year]],Table2[[#All],[Deflator to 2023]])</f>
        <v>#NAME?</v>
      </c>
      <c r="T118" s="24" t="e" cm="1">
        <f t="array" aca="1" ref="T118" ca="1">Table1[[#This Row],[Nominal TRY]]/_xlfn.XLOOKUP(Table1[[#This Row],[Year]],Table3[[#All],[Year]],Table3[[#All],[Rate]])</f>
        <v>#NAME?</v>
      </c>
    </row>
    <row r="119" spans="1:20" ht="29">
      <c r="A119" s="21">
        <v>2023</v>
      </c>
      <c r="B119" s="21">
        <v>2020</v>
      </c>
      <c r="C119" s="21" t="s">
        <v>17</v>
      </c>
      <c r="D119" s="21" t="s">
        <v>18</v>
      </c>
      <c r="E119" s="21" t="s">
        <v>114</v>
      </c>
      <c r="F119" s="3" t="s">
        <v>115</v>
      </c>
      <c r="G119" s="21" t="s">
        <v>21</v>
      </c>
      <c r="H119" s="21" t="s">
        <v>22</v>
      </c>
      <c r="I119" s="22">
        <v>703716490</v>
      </c>
      <c r="J119" s="21">
        <v>703716490</v>
      </c>
      <c r="K119" s="21" t="s">
        <v>26</v>
      </c>
      <c r="L119" s="21"/>
      <c r="M119" s="21" t="b">
        <v>1</v>
      </c>
      <c r="N119" s="21">
        <v>4</v>
      </c>
      <c r="O119" s="27">
        <v>351976579.75</v>
      </c>
      <c r="P119" s="21" t="s">
        <v>24</v>
      </c>
      <c r="Q119" s="21" t="s">
        <v>25</v>
      </c>
      <c r="R119" s="23">
        <v>703716490</v>
      </c>
      <c r="S119" s="23" t="e" cm="1">
        <f t="array" aca="1" ref="S119" ca="1">Table1[[#This Row],[Nominal TRY]]*_xlfn.XLOOKUP(Table1[[#This Row],[Year]],Table2[[#All],[Year]],Table2[[#All],[Deflator to 2023]])</f>
        <v>#NAME?</v>
      </c>
      <c r="T119" s="24" t="e" cm="1">
        <f t="array" aca="1" ref="T119" ca="1">Table1[[#This Row],[Nominal TRY]]/_xlfn.XLOOKUP(Table1[[#This Row],[Year]],Table3[[#All],[Year]],Table3[[#All],[Rate]])</f>
        <v>#NAME?</v>
      </c>
    </row>
    <row r="120" spans="1:20" ht="29">
      <c r="A120" s="21">
        <v>2020</v>
      </c>
      <c r="B120" s="21">
        <v>2020</v>
      </c>
      <c r="C120" s="21" t="s">
        <v>17</v>
      </c>
      <c r="D120" s="21" t="s">
        <v>18</v>
      </c>
      <c r="E120" s="21" t="s">
        <v>114</v>
      </c>
      <c r="F120" s="3" t="s">
        <v>115</v>
      </c>
      <c r="G120" s="21" t="s">
        <v>21</v>
      </c>
      <c r="H120" s="21" t="s">
        <v>22</v>
      </c>
      <c r="I120" s="22">
        <v>195000</v>
      </c>
      <c r="J120" s="21">
        <v>195000</v>
      </c>
      <c r="K120" s="21" t="s">
        <v>32</v>
      </c>
      <c r="L120" s="21">
        <v>-99.972289977175294</v>
      </c>
      <c r="M120" s="21" t="b">
        <v>1</v>
      </c>
      <c r="N120" s="21">
        <v>4</v>
      </c>
      <c r="O120" s="27">
        <v>351976579.75</v>
      </c>
      <c r="P120" s="21" t="s">
        <v>24</v>
      </c>
      <c r="Q120" s="21" t="s">
        <v>25</v>
      </c>
      <c r="R120" s="23">
        <v>195000</v>
      </c>
      <c r="S120" s="23" t="e" cm="1">
        <f t="array" aca="1" ref="S120" ca="1">Table1[[#This Row],[Nominal TRY]]*_xlfn.XLOOKUP(Table1[[#This Row],[Year]],Table2[[#All],[Year]],Table2[[#All],[Deflator to 2023]])</f>
        <v>#NAME?</v>
      </c>
      <c r="T120" s="24" t="e" cm="1">
        <f t="array" aca="1" ref="T120" ca="1">Table1[[#This Row],[Nominal TRY]]/_xlfn.XLOOKUP(Table1[[#This Row],[Year]],Table3[[#All],[Year]],Table3[[#All],[Rate]])</f>
        <v>#NAME?</v>
      </c>
    </row>
    <row r="121" spans="1:20">
      <c r="A121" s="21">
        <v>2021</v>
      </c>
      <c r="B121" s="21">
        <v>2020</v>
      </c>
      <c r="C121" s="21" t="s">
        <v>17</v>
      </c>
      <c r="D121" s="21" t="s">
        <v>18</v>
      </c>
      <c r="E121" s="21" t="s">
        <v>34</v>
      </c>
      <c r="F121" s="3" t="s">
        <v>35</v>
      </c>
      <c r="G121" s="21" t="s">
        <v>21</v>
      </c>
      <c r="H121" s="21" t="s">
        <v>22</v>
      </c>
      <c r="I121" s="22">
        <v>139383</v>
      </c>
      <c r="J121" s="21">
        <v>139383</v>
      </c>
      <c r="K121" s="21" t="s">
        <v>32</v>
      </c>
      <c r="L121" s="21">
        <v>-11.740457435222</v>
      </c>
      <c r="M121" s="21" t="b">
        <v>1</v>
      </c>
      <c r="N121" s="21">
        <v>4</v>
      </c>
      <c r="O121" s="27">
        <v>153547.625</v>
      </c>
      <c r="P121" s="21" t="s">
        <v>36</v>
      </c>
      <c r="Q121" s="21" t="s">
        <v>25</v>
      </c>
      <c r="R121" s="23">
        <v>139383</v>
      </c>
      <c r="S121" s="23" t="e" cm="1">
        <f t="array" aca="1" ref="S121" ca="1">Table1[[#This Row],[Nominal TRY]]*_xlfn.XLOOKUP(Table1[[#This Row],[Year]],Table2[[#All],[Year]],Table2[[#All],[Deflator to 2023]])</f>
        <v>#NAME?</v>
      </c>
      <c r="T121" s="24" t="e" cm="1">
        <f t="array" aca="1" ref="T121" ca="1">Table1[[#This Row],[Nominal TRY]]/_xlfn.XLOOKUP(Table1[[#This Row],[Year]],Table3[[#All],[Year]],Table3[[#All],[Rate]])</f>
        <v>#NAME?</v>
      </c>
    </row>
    <row r="122" spans="1:20">
      <c r="A122" s="21">
        <v>2022</v>
      </c>
      <c r="B122" s="21">
        <v>2020</v>
      </c>
      <c r="C122" s="21" t="s">
        <v>17</v>
      </c>
      <c r="D122" s="21" t="s">
        <v>18</v>
      </c>
      <c r="E122" s="21" t="s">
        <v>34</v>
      </c>
      <c r="F122" s="3" t="s">
        <v>35</v>
      </c>
      <c r="G122" s="21" t="s">
        <v>21</v>
      </c>
      <c r="H122" s="21" t="s">
        <v>22</v>
      </c>
      <c r="I122" s="22">
        <v>171181</v>
      </c>
      <c r="J122" s="21">
        <v>171181</v>
      </c>
      <c r="K122" s="21" t="s">
        <v>32</v>
      </c>
      <c r="L122" s="25">
        <v>22.813399051534201</v>
      </c>
      <c r="M122" s="21" t="b">
        <v>1</v>
      </c>
      <c r="N122" s="21">
        <v>4</v>
      </c>
      <c r="O122" s="27">
        <v>153547.625</v>
      </c>
      <c r="P122" s="21" t="s">
        <v>36</v>
      </c>
      <c r="Q122" s="21" t="s">
        <v>25</v>
      </c>
      <c r="R122" s="23">
        <v>171181</v>
      </c>
      <c r="S122" s="23" t="e" cm="1">
        <f t="array" aca="1" ref="S122" ca="1">Table1[[#This Row],[Nominal TRY]]*_xlfn.XLOOKUP(Table1[[#This Row],[Year]],Table2[[#All],[Year]],Table2[[#All],[Deflator to 2023]])</f>
        <v>#NAME?</v>
      </c>
      <c r="T122" s="24" t="e" cm="1">
        <f t="array" aca="1" ref="T122" ca="1">Table1[[#This Row],[Nominal TRY]]/_xlfn.XLOOKUP(Table1[[#This Row],[Year]],Table3[[#All],[Year]],Table3[[#All],[Rate]])</f>
        <v>#NAME?</v>
      </c>
    </row>
    <row r="123" spans="1:20">
      <c r="A123" s="21">
        <v>2023</v>
      </c>
      <c r="B123" s="21">
        <v>2020</v>
      </c>
      <c r="C123" s="21" t="s">
        <v>17</v>
      </c>
      <c r="D123" s="21" t="s">
        <v>18</v>
      </c>
      <c r="E123" s="21" t="s">
        <v>34</v>
      </c>
      <c r="F123" s="3" t="s">
        <v>35</v>
      </c>
      <c r="G123" s="21" t="s">
        <v>21</v>
      </c>
      <c r="H123" s="21" t="s">
        <v>22</v>
      </c>
      <c r="I123" s="22">
        <v>157924</v>
      </c>
      <c r="J123" s="21">
        <v>157924</v>
      </c>
      <c r="K123" s="21" t="s">
        <v>32</v>
      </c>
      <c r="L123" s="21">
        <v>-7.7444342538015301</v>
      </c>
      <c r="M123" s="21" t="b">
        <v>1</v>
      </c>
      <c r="N123" s="21">
        <v>4</v>
      </c>
      <c r="O123" s="27">
        <v>153547.625</v>
      </c>
      <c r="P123" s="21" t="s">
        <v>36</v>
      </c>
      <c r="Q123" s="21" t="s">
        <v>25</v>
      </c>
      <c r="R123" s="23">
        <v>157924</v>
      </c>
      <c r="S123" s="23" t="e" cm="1">
        <f t="array" aca="1" ref="S123" ca="1">Table1[[#This Row],[Nominal TRY]]*_xlfn.XLOOKUP(Table1[[#This Row],[Year]],Table2[[#All],[Year]],Table2[[#All],[Deflator to 2023]])</f>
        <v>#NAME?</v>
      </c>
      <c r="T123" s="24" t="e" cm="1">
        <f t="array" aca="1" ref="T123" ca="1">Table1[[#This Row],[Nominal TRY]]/_xlfn.XLOOKUP(Table1[[#This Row],[Year]],Table3[[#All],[Year]],Table3[[#All],[Rate]])</f>
        <v>#NAME?</v>
      </c>
    </row>
    <row r="124" spans="1:20">
      <c r="A124" s="21">
        <v>2022</v>
      </c>
      <c r="B124" s="21">
        <v>2020</v>
      </c>
      <c r="C124" s="21" t="s">
        <v>17</v>
      </c>
      <c r="D124" s="21" t="s">
        <v>18</v>
      </c>
      <c r="E124" s="21" t="s">
        <v>117</v>
      </c>
      <c r="F124" s="3" t="s">
        <v>118</v>
      </c>
      <c r="G124" s="21" t="s">
        <v>40</v>
      </c>
      <c r="H124" s="21" t="s">
        <v>22</v>
      </c>
      <c r="I124" s="22">
        <v>149270000</v>
      </c>
      <c r="J124" s="21">
        <v>149270000</v>
      </c>
      <c r="K124" s="21" t="s">
        <v>26</v>
      </c>
      <c r="L124" s="21"/>
      <c r="M124" s="21" t="b">
        <v>1</v>
      </c>
      <c r="N124" s="21">
        <v>4</v>
      </c>
      <c r="O124" s="27">
        <v>156832250</v>
      </c>
      <c r="P124" s="21" t="s">
        <v>36</v>
      </c>
      <c r="Q124" s="21" t="s">
        <v>25</v>
      </c>
      <c r="R124" s="23">
        <v>149270000</v>
      </c>
      <c r="S124" s="23" t="e" cm="1">
        <f t="array" aca="1" ref="S124" ca="1">Table1[[#This Row],[Nominal TRY]]*_xlfn.XLOOKUP(Table1[[#This Row],[Year]],Table2[[#All],[Year]],Table2[[#All],[Deflator to 2023]])</f>
        <v>#NAME?</v>
      </c>
      <c r="T124" s="24" t="e" cm="1">
        <f t="array" aca="1" ref="T124" ca="1">Table1[[#This Row],[Nominal TRY]]/_xlfn.XLOOKUP(Table1[[#This Row],[Year]],Table3[[#All],[Year]],Table3[[#All],[Rate]])</f>
        <v>#NAME?</v>
      </c>
    </row>
    <row r="125" spans="1:20">
      <c r="A125" s="21">
        <v>2023</v>
      </c>
      <c r="B125" s="21">
        <v>2020</v>
      </c>
      <c r="C125" s="21" t="s">
        <v>17</v>
      </c>
      <c r="D125" s="21" t="s">
        <v>18</v>
      </c>
      <c r="E125" s="21" t="s">
        <v>117</v>
      </c>
      <c r="F125" s="3" t="s">
        <v>118</v>
      </c>
      <c r="G125" s="21" t="s">
        <v>40</v>
      </c>
      <c r="H125" s="21" t="s">
        <v>22</v>
      </c>
      <c r="I125" s="22">
        <v>253387000</v>
      </c>
      <c r="J125" s="21">
        <v>253387000</v>
      </c>
      <c r="K125" s="21" t="s">
        <v>26</v>
      </c>
      <c r="L125" s="25">
        <v>69.750787164199096</v>
      </c>
      <c r="M125" s="21" t="b">
        <v>1</v>
      </c>
      <c r="N125" s="21">
        <v>4</v>
      </c>
      <c r="O125" s="27">
        <v>156832250</v>
      </c>
      <c r="P125" s="21" t="s">
        <v>36</v>
      </c>
      <c r="Q125" s="21" t="s">
        <v>25</v>
      </c>
      <c r="R125" s="23">
        <v>253387000</v>
      </c>
      <c r="S125" s="23" t="e" cm="1">
        <f t="array" aca="1" ref="S125" ca="1">Table1[[#This Row],[Nominal TRY]]*_xlfn.XLOOKUP(Table1[[#This Row],[Year]],Table2[[#All],[Year]],Table2[[#All],[Deflator to 2023]])</f>
        <v>#NAME?</v>
      </c>
      <c r="T125" s="24" t="e" cm="1">
        <f t="array" aca="1" ref="T125" ca="1">Table1[[#This Row],[Nominal TRY]]/_xlfn.XLOOKUP(Table1[[#This Row],[Year]],Table3[[#All],[Year]],Table3[[#All],[Rate]])</f>
        <v>#NAME?</v>
      </c>
    </row>
    <row r="126" spans="1:20">
      <c r="A126" s="21">
        <v>2020</v>
      </c>
      <c r="B126" s="21">
        <v>2020</v>
      </c>
      <c r="C126" s="21" t="s">
        <v>17</v>
      </c>
      <c r="D126" s="21" t="s">
        <v>18</v>
      </c>
      <c r="E126" s="21" t="s">
        <v>117</v>
      </c>
      <c r="F126" s="3" t="s">
        <v>118</v>
      </c>
      <c r="G126" s="21" t="s">
        <v>40</v>
      </c>
      <c r="H126" s="21" t="s">
        <v>22</v>
      </c>
      <c r="I126" s="22">
        <v>171639000</v>
      </c>
      <c r="J126" s="21">
        <v>171639000</v>
      </c>
      <c r="K126" s="21" t="s">
        <v>26</v>
      </c>
      <c r="L126" s="21">
        <v>-32.262112894505201</v>
      </c>
      <c r="M126" s="21" t="b">
        <v>1</v>
      </c>
      <c r="N126" s="21">
        <v>4</v>
      </c>
      <c r="O126" s="27">
        <v>156832250</v>
      </c>
      <c r="P126" s="21" t="s">
        <v>36</v>
      </c>
      <c r="Q126" s="21" t="s">
        <v>25</v>
      </c>
      <c r="R126" s="23">
        <v>171639000</v>
      </c>
      <c r="S126" s="23" t="e" cm="1">
        <f t="array" aca="1" ref="S126" ca="1">Table1[[#This Row],[Nominal TRY]]*_xlfn.XLOOKUP(Table1[[#This Row],[Year]],Table2[[#All],[Year]],Table2[[#All],[Deflator to 2023]])</f>
        <v>#NAME?</v>
      </c>
      <c r="T126" s="24" t="e" cm="1">
        <f t="array" aca="1" ref="T126" ca="1">Table1[[#This Row],[Nominal TRY]]/_xlfn.XLOOKUP(Table1[[#This Row],[Year]],Table3[[#All],[Year]],Table3[[#All],[Rate]])</f>
        <v>#NAME?</v>
      </c>
    </row>
    <row r="127" spans="1:20">
      <c r="A127" s="21">
        <v>2020</v>
      </c>
      <c r="B127" s="21">
        <v>2020</v>
      </c>
      <c r="C127" s="21" t="s">
        <v>17</v>
      </c>
      <c r="D127" s="21" t="s">
        <v>18</v>
      </c>
      <c r="E127" s="21" t="s">
        <v>56</v>
      </c>
      <c r="F127" s="3" t="s">
        <v>57</v>
      </c>
      <c r="G127" s="21" t="s">
        <v>21</v>
      </c>
      <c r="H127" s="21" t="s">
        <v>22</v>
      </c>
      <c r="I127" s="22">
        <v>78291417</v>
      </c>
      <c r="J127" s="21">
        <v>78291417</v>
      </c>
      <c r="K127" s="21" t="s">
        <v>23</v>
      </c>
      <c r="L127" s="25">
        <v>3355.8972545779102</v>
      </c>
      <c r="M127" s="21" t="b">
        <v>1</v>
      </c>
      <c r="N127" s="21">
        <v>4</v>
      </c>
      <c r="O127" s="27">
        <v>190634414.125</v>
      </c>
      <c r="P127" s="21" t="s">
        <v>24</v>
      </c>
      <c r="Q127" s="21" t="s">
        <v>25</v>
      </c>
      <c r="R127" s="23">
        <v>78291417</v>
      </c>
      <c r="S127" s="23" t="e" cm="1">
        <f t="array" aca="1" ref="S127" ca="1">Table1[[#This Row],[Nominal TRY]]*_xlfn.XLOOKUP(Table1[[#This Row],[Year]],Table2[[#All],[Year]],Table2[[#All],[Deflator to 2023]])</f>
        <v>#NAME?</v>
      </c>
      <c r="T127" s="24" t="e" cm="1">
        <f t="array" aca="1" ref="T127" ca="1">Table1[[#This Row],[Nominal TRY]]/_xlfn.XLOOKUP(Table1[[#This Row],[Year]],Table3[[#All],[Year]],Table3[[#All],[Rate]])</f>
        <v>#NAME?</v>
      </c>
    </row>
    <row r="128" spans="1:20">
      <c r="A128" s="21">
        <v>2021</v>
      </c>
      <c r="B128" s="21">
        <v>2020</v>
      </c>
      <c r="C128" s="21" t="s">
        <v>17</v>
      </c>
      <c r="D128" s="21" t="s">
        <v>18</v>
      </c>
      <c r="E128" s="21" t="s">
        <v>56</v>
      </c>
      <c r="F128" s="3" t="s">
        <v>57</v>
      </c>
      <c r="G128" s="21" t="s">
        <v>21</v>
      </c>
      <c r="H128" s="21" t="s">
        <v>22</v>
      </c>
      <c r="I128" s="22">
        <v>90431351</v>
      </c>
      <c r="J128" s="21">
        <v>90431351</v>
      </c>
      <c r="K128" s="21" t="s">
        <v>23</v>
      </c>
      <c r="L128" s="25">
        <v>15.506085424408599</v>
      </c>
      <c r="M128" s="21" t="b">
        <v>1</v>
      </c>
      <c r="N128" s="21">
        <v>4</v>
      </c>
      <c r="O128" s="27">
        <v>190634414.125</v>
      </c>
      <c r="P128" s="21" t="s">
        <v>24</v>
      </c>
      <c r="Q128" s="21" t="s">
        <v>25</v>
      </c>
      <c r="R128" s="23">
        <v>90431351</v>
      </c>
      <c r="S128" s="23" t="e" cm="1">
        <f t="array" aca="1" ref="S128" ca="1">Table1[[#This Row],[Nominal TRY]]*_xlfn.XLOOKUP(Table1[[#This Row],[Year]],Table2[[#All],[Year]],Table2[[#All],[Deflator to 2023]])</f>
        <v>#NAME?</v>
      </c>
      <c r="T128" s="24" t="e" cm="1">
        <f t="array" aca="1" ref="T128" ca="1">Table1[[#This Row],[Nominal TRY]]/_xlfn.XLOOKUP(Table1[[#This Row],[Year]],Table3[[#All],[Year]],Table3[[#All],[Rate]])</f>
        <v>#NAME?</v>
      </c>
    </row>
    <row r="129" spans="1:20">
      <c r="A129" s="21">
        <v>2022</v>
      </c>
      <c r="B129" s="21">
        <v>2020</v>
      </c>
      <c r="C129" s="21" t="s">
        <v>17</v>
      </c>
      <c r="D129" s="21" t="s">
        <v>18</v>
      </c>
      <c r="E129" s="21" t="s">
        <v>56</v>
      </c>
      <c r="F129" s="3" t="s">
        <v>57</v>
      </c>
      <c r="G129" s="21" t="s">
        <v>21</v>
      </c>
      <c r="H129" s="21" t="s">
        <v>22</v>
      </c>
      <c r="I129" s="22">
        <v>90516897</v>
      </c>
      <c r="J129" s="21">
        <v>90516897</v>
      </c>
      <c r="K129" s="21" t="s">
        <v>23</v>
      </c>
      <c r="L129" s="21">
        <v>9.4597724189693297E-2</v>
      </c>
      <c r="M129" s="21" t="b">
        <v>1</v>
      </c>
      <c r="N129" s="21">
        <v>4</v>
      </c>
      <c r="O129" s="27">
        <v>190634414.125</v>
      </c>
      <c r="P129" s="21" t="s">
        <v>24</v>
      </c>
      <c r="Q129" s="21" t="s">
        <v>25</v>
      </c>
      <c r="R129" s="23">
        <v>90516897</v>
      </c>
      <c r="S129" s="23" t="e" cm="1">
        <f t="array" aca="1" ref="S129" ca="1">Table1[[#This Row],[Nominal TRY]]*_xlfn.XLOOKUP(Table1[[#This Row],[Year]],Table2[[#All],[Year]],Table2[[#All],[Deflator to 2023]])</f>
        <v>#NAME?</v>
      </c>
      <c r="T129" s="24" t="e" cm="1">
        <f t="array" aca="1" ref="T129" ca="1">Table1[[#This Row],[Nominal TRY]]/_xlfn.XLOOKUP(Table1[[#This Row],[Year]],Table3[[#All],[Year]],Table3[[#All],[Rate]])</f>
        <v>#NAME?</v>
      </c>
    </row>
    <row r="130" spans="1:20">
      <c r="A130" s="21">
        <v>2022</v>
      </c>
      <c r="B130" s="21">
        <v>2020</v>
      </c>
      <c r="C130" s="21" t="s">
        <v>17</v>
      </c>
      <c r="D130" s="21" t="s">
        <v>18</v>
      </c>
      <c r="E130" s="21" t="s">
        <v>122</v>
      </c>
      <c r="F130" s="3" t="s">
        <v>123</v>
      </c>
      <c r="G130" s="21" t="s">
        <v>40</v>
      </c>
      <c r="H130" s="21" t="s">
        <v>22</v>
      </c>
      <c r="I130" s="22">
        <v>512797000</v>
      </c>
      <c r="J130" s="21">
        <v>512797000</v>
      </c>
      <c r="K130" s="21" t="s">
        <v>26</v>
      </c>
      <c r="L130" s="21"/>
      <c r="M130" s="21" t="b">
        <v>1</v>
      </c>
      <c r="N130" s="21">
        <v>4</v>
      </c>
      <c r="O130" s="27">
        <v>614407000</v>
      </c>
      <c r="P130" s="21" t="s">
        <v>24</v>
      </c>
      <c r="Q130" s="21" t="s">
        <v>25</v>
      </c>
      <c r="R130" s="23">
        <v>512797000</v>
      </c>
      <c r="S130" s="23" t="e" cm="1">
        <f t="array" aca="1" ref="S130" ca="1">Table1[[#This Row],[Nominal TRY]]*_xlfn.XLOOKUP(Table1[[#This Row],[Year]],Table2[[#All],[Year]],Table2[[#All],[Deflator to 2023]])</f>
        <v>#NAME?</v>
      </c>
      <c r="T130" s="24" t="e" cm="1">
        <f t="array" aca="1" ref="T130" ca="1">Table1[[#This Row],[Nominal TRY]]/_xlfn.XLOOKUP(Table1[[#This Row],[Year]],Table3[[#All],[Year]],Table3[[#All],[Rate]])</f>
        <v>#NAME?</v>
      </c>
    </row>
    <row r="131" spans="1:20">
      <c r="A131" s="21">
        <v>2023</v>
      </c>
      <c r="B131" s="21">
        <v>2020</v>
      </c>
      <c r="C131" s="21" t="s">
        <v>17</v>
      </c>
      <c r="D131" s="21" t="s">
        <v>18</v>
      </c>
      <c r="E131" s="21" t="s">
        <v>122</v>
      </c>
      <c r="F131" s="3" t="s">
        <v>123</v>
      </c>
      <c r="G131" s="21" t="s">
        <v>40</v>
      </c>
      <c r="H131" s="21" t="s">
        <v>22</v>
      </c>
      <c r="I131" s="22">
        <v>870475000</v>
      </c>
      <c r="J131" s="21">
        <v>870475000</v>
      </c>
      <c r="K131" s="21" t="s">
        <v>26</v>
      </c>
      <c r="L131" s="25">
        <v>69.750408056209295</v>
      </c>
      <c r="M131" s="21" t="b">
        <v>1</v>
      </c>
      <c r="N131" s="21">
        <v>4</v>
      </c>
      <c r="O131" s="27">
        <v>614407000</v>
      </c>
      <c r="P131" s="21" t="s">
        <v>24</v>
      </c>
      <c r="Q131" s="21" t="s">
        <v>25</v>
      </c>
      <c r="R131" s="23">
        <v>870475000</v>
      </c>
      <c r="S131" s="23" t="e" cm="1">
        <f t="array" aca="1" ref="S131" ca="1">Table1[[#This Row],[Nominal TRY]]*_xlfn.XLOOKUP(Table1[[#This Row],[Year]],Table2[[#All],[Year]],Table2[[#All],[Deflator to 2023]])</f>
        <v>#NAME?</v>
      </c>
      <c r="T131" s="24" t="e" cm="1">
        <f t="array" aca="1" ref="T131" ca="1">Table1[[#This Row],[Nominal TRY]]/_xlfn.XLOOKUP(Table1[[#This Row],[Year]],Table3[[#All],[Year]],Table3[[#All],[Rate]])</f>
        <v>#NAME?</v>
      </c>
    </row>
    <row r="132" spans="1:20">
      <c r="A132" s="21">
        <v>2020</v>
      </c>
      <c r="B132" s="21">
        <v>2020</v>
      </c>
      <c r="C132" s="21" t="s">
        <v>17</v>
      </c>
      <c r="D132" s="21" t="s">
        <v>18</v>
      </c>
      <c r="E132" s="21" t="s">
        <v>122</v>
      </c>
      <c r="F132" s="3" t="s">
        <v>123</v>
      </c>
      <c r="G132" s="21" t="s">
        <v>40</v>
      </c>
      <c r="H132" s="21" t="s">
        <v>22</v>
      </c>
      <c r="I132" s="22">
        <v>720925000</v>
      </c>
      <c r="J132" s="21">
        <v>720925000</v>
      </c>
      <c r="K132" s="21" t="s">
        <v>26</v>
      </c>
      <c r="L132" s="21">
        <v>-17.180275137137698</v>
      </c>
      <c r="M132" s="21" t="b">
        <v>1</v>
      </c>
      <c r="N132" s="21">
        <v>4</v>
      </c>
      <c r="O132" s="27">
        <v>614407000</v>
      </c>
      <c r="P132" s="21" t="s">
        <v>24</v>
      </c>
      <c r="Q132" s="21" t="s">
        <v>25</v>
      </c>
      <c r="R132" s="23">
        <v>720925000</v>
      </c>
      <c r="S132" s="23" t="e" cm="1">
        <f t="array" aca="1" ref="S132" ca="1">Table1[[#This Row],[Nominal TRY]]*_xlfn.XLOOKUP(Table1[[#This Row],[Year]],Table2[[#All],[Year]],Table2[[#All],[Deflator to 2023]])</f>
        <v>#NAME?</v>
      </c>
      <c r="T132" s="24" t="e" cm="1">
        <f t="array" aca="1" ref="T132" ca="1">Table1[[#This Row],[Nominal TRY]]/_xlfn.XLOOKUP(Table1[[#This Row],[Year]],Table3[[#All],[Year]],Table3[[#All],[Rate]])</f>
        <v>#NAME?</v>
      </c>
    </row>
    <row r="133" spans="1:20">
      <c r="A133" s="21">
        <v>2022</v>
      </c>
      <c r="B133" s="21">
        <v>2020</v>
      </c>
      <c r="C133" s="21" t="s">
        <v>17</v>
      </c>
      <c r="D133" s="21" t="s">
        <v>18</v>
      </c>
      <c r="E133" s="21" t="s">
        <v>82</v>
      </c>
      <c r="F133" s="3" t="s">
        <v>83</v>
      </c>
      <c r="G133" s="21" t="s">
        <v>21</v>
      </c>
      <c r="H133" s="21" t="s">
        <v>22</v>
      </c>
      <c r="I133" s="22">
        <v>2930865</v>
      </c>
      <c r="J133" s="21">
        <v>2930865</v>
      </c>
      <c r="K133" s="21" t="s">
        <v>23</v>
      </c>
      <c r="L133" s="25">
        <v>114.780054653818</v>
      </c>
      <c r="M133" s="21" t="b">
        <v>1</v>
      </c>
      <c r="N133" s="21">
        <v>4</v>
      </c>
      <c r="O133" s="27">
        <v>2167758.375</v>
      </c>
      <c r="P133" s="21" t="s">
        <v>24</v>
      </c>
      <c r="Q133" s="21" t="s">
        <v>25</v>
      </c>
      <c r="R133" s="23">
        <v>2930865</v>
      </c>
      <c r="S133" s="23" t="e" cm="1">
        <f t="array" aca="1" ref="S133" ca="1">Table1[[#This Row],[Nominal TRY]]*_xlfn.XLOOKUP(Table1[[#This Row],[Year]],Table2[[#All],[Year]],Table2[[#All],[Deflator to 2023]])</f>
        <v>#NAME?</v>
      </c>
      <c r="T133" s="24" t="e" cm="1">
        <f t="array" aca="1" ref="T133" ca="1">Table1[[#This Row],[Nominal TRY]]/_xlfn.XLOOKUP(Table1[[#This Row],[Year]],Table3[[#All],[Year]],Table3[[#All],[Rate]])</f>
        <v>#NAME?</v>
      </c>
    </row>
    <row r="134" spans="1:20">
      <c r="A134" s="21">
        <v>2023</v>
      </c>
      <c r="B134" s="21">
        <v>2020</v>
      </c>
      <c r="C134" s="21" t="s">
        <v>17</v>
      </c>
      <c r="D134" s="21" t="s">
        <v>18</v>
      </c>
      <c r="E134" s="21" t="s">
        <v>82</v>
      </c>
      <c r="F134" s="3" t="s">
        <v>83</v>
      </c>
      <c r="G134" s="21" t="s">
        <v>21</v>
      </c>
      <c r="H134" s="21" t="s">
        <v>22</v>
      </c>
      <c r="I134" s="22">
        <v>2147166</v>
      </c>
      <c r="J134" s="21">
        <v>2147166</v>
      </c>
      <c r="K134" s="21" t="s">
        <v>23</v>
      </c>
      <c r="L134" s="21">
        <v>-26.739512055314702</v>
      </c>
      <c r="M134" s="21" t="b">
        <v>1</v>
      </c>
      <c r="N134" s="21">
        <v>4</v>
      </c>
      <c r="O134" s="27">
        <v>2167758.375</v>
      </c>
      <c r="P134" s="21" t="s">
        <v>24</v>
      </c>
      <c r="Q134" s="21" t="s">
        <v>25</v>
      </c>
      <c r="R134" s="23">
        <v>2147166</v>
      </c>
      <c r="S134" s="23" t="e" cm="1">
        <f t="array" aca="1" ref="S134" ca="1">Table1[[#This Row],[Nominal TRY]]*_xlfn.XLOOKUP(Table1[[#This Row],[Year]],Table2[[#All],[Year]],Table2[[#All],[Deflator to 2023]])</f>
        <v>#NAME?</v>
      </c>
      <c r="T134" s="24" t="e" cm="1">
        <f t="array" aca="1" ref="T134" ca="1">Table1[[#This Row],[Nominal TRY]]/_xlfn.XLOOKUP(Table1[[#This Row],[Year]],Table3[[#All],[Year]],Table3[[#All],[Rate]])</f>
        <v>#NAME?</v>
      </c>
    </row>
    <row r="135" spans="1:20">
      <c r="A135" s="21">
        <v>2020</v>
      </c>
      <c r="B135" s="21">
        <v>2020</v>
      </c>
      <c r="C135" s="21" t="s">
        <v>17</v>
      </c>
      <c r="D135" s="21" t="s">
        <v>18</v>
      </c>
      <c r="E135" s="21" t="s">
        <v>82</v>
      </c>
      <c r="F135" s="3" t="s">
        <v>83</v>
      </c>
      <c r="G135" s="21" t="s">
        <v>21</v>
      </c>
      <c r="H135" s="21" t="s">
        <v>22</v>
      </c>
      <c r="I135" s="22">
        <v>2456260</v>
      </c>
      <c r="J135" s="21">
        <v>2456260</v>
      </c>
      <c r="K135" s="21" t="s">
        <v>23</v>
      </c>
      <c r="L135" s="25">
        <v>14.3954403152807</v>
      </c>
      <c r="M135" s="21" t="b">
        <v>1</v>
      </c>
      <c r="N135" s="21">
        <v>4</v>
      </c>
      <c r="O135" s="27">
        <v>2167758.375</v>
      </c>
      <c r="P135" s="21" t="s">
        <v>24</v>
      </c>
      <c r="Q135" s="21" t="s">
        <v>25</v>
      </c>
      <c r="R135" s="23">
        <v>2456260</v>
      </c>
      <c r="S135" s="23" t="e" cm="1">
        <f t="array" aca="1" ref="S135" ca="1">Table1[[#This Row],[Nominal TRY]]*_xlfn.XLOOKUP(Table1[[#This Row],[Year]],Table2[[#All],[Year]],Table2[[#All],[Deflator to 2023]])</f>
        <v>#NAME?</v>
      </c>
      <c r="T135" s="24" t="e" cm="1">
        <f t="array" aca="1" ref="T135" ca="1">Table1[[#This Row],[Nominal TRY]]/_xlfn.XLOOKUP(Table1[[#This Row],[Year]],Table3[[#All],[Year]],Table3[[#All],[Rate]])</f>
        <v>#NAME?</v>
      </c>
    </row>
    <row r="136" spans="1:20">
      <c r="A136" s="21">
        <v>2022</v>
      </c>
      <c r="B136" s="21">
        <v>2020</v>
      </c>
      <c r="C136" s="21" t="s">
        <v>17</v>
      </c>
      <c r="D136" s="21" t="s">
        <v>18</v>
      </c>
      <c r="E136" s="21" t="s">
        <v>38</v>
      </c>
      <c r="F136" s="3" t="s">
        <v>39</v>
      </c>
      <c r="G136" s="21" t="s">
        <v>40</v>
      </c>
      <c r="H136" s="21" t="s">
        <v>22</v>
      </c>
      <c r="I136" s="22">
        <v>703716490</v>
      </c>
      <c r="J136" s="21">
        <v>703716490</v>
      </c>
      <c r="K136" s="21" t="s">
        <v>26</v>
      </c>
      <c r="L136" s="21"/>
      <c r="M136" s="21" t="b">
        <v>1</v>
      </c>
      <c r="N136" s="21">
        <v>4</v>
      </c>
      <c r="O136" s="27">
        <v>703716490</v>
      </c>
      <c r="P136" s="21" t="s">
        <v>41</v>
      </c>
      <c r="Q136" s="21" t="s">
        <v>25</v>
      </c>
      <c r="R136" s="23">
        <v>703716490</v>
      </c>
      <c r="S136" s="23" t="e" cm="1">
        <f t="array" aca="1" ref="S136" ca="1">Table1[[#This Row],[Nominal TRY]]*_xlfn.XLOOKUP(Table1[[#This Row],[Year]],Table2[[#All],[Year]],Table2[[#All],[Deflator to 2023]])</f>
        <v>#NAME?</v>
      </c>
      <c r="T136" s="24" t="e" cm="1">
        <f t="array" aca="1" ref="T136" ca="1">Table1[[#This Row],[Nominal TRY]]/_xlfn.XLOOKUP(Table1[[#This Row],[Year]],Table3[[#All],[Year]],Table3[[#All],[Rate]])</f>
        <v>#NAME?</v>
      </c>
    </row>
    <row r="137" spans="1:20">
      <c r="A137" s="21">
        <v>2023</v>
      </c>
      <c r="B137" s="21">
        <v>2020</v>
      </c>
      <c r="C137" s="21" t="s">
        <v>17</v>
      </c>
      <c r="D137" s="21" t="s">
        <v>18</v>
      </c>
      <c r="E137" s="21" t="s">
        <v>38</v>
      </c>
      <c r="F137" s="3" t="s">
        <v>39</v>
      </c>
      <c r="G137" s="21" t="s">
        <v>40</v>
      </c>
      <c r="H137" s="21" t="s">
        <v>22</v>
      </c>
      <c r="I137" s="22">
        <v>703716490</v>
      </c>
      <c r="J137" s="21">
        <v>703716490</v>
      </c>
      <c r="K137" s="21" t="s">
        <v>26</v>
      </c>
      <c r="L137" s="21"/>
      <c r="M137" s="21" t="b">
        <v>1</v>
      </c>
      <c r="N137" s="21">
        <v>4</v>
      </c>
      <c r="O137" s="27">
        <v>703716490</v>
      </c>
      <c r="P137" s="21" t="s">
        <v>41</v>
      </c>
      <c r="Q137" s="21" t="s">
        <v>25</v>
      </c>
      <c r="R137" s="23">
        <v>703716490</v>
      </c>
      <c r="S137" s="23" t="e" cm="1">
        <f t="array" aca="1" ref="S137" ca="1">Table1[[#This Row],[Nominal TRY]]*_xlfn.XLOOKUP(Table1[[#This Row],[Year]],Table2[[#All],[Year]],Table2[[#All],[Deflator to 2023]])</f>
        <v>#NAME?</v>
      </c>
      <c r="T137" s="24" t="e" cm="1">
        <f t="array" aca="1" ref="T137" ca="1">Table1[[#This Row],[Nominal TRY]]/_xlfn.XLOOKUP(Table1[[#This Row],[Year]],Table3[[#All],[Year]],Table3[[#All],[Rate]])</f>
        <v>#NAME?</v>
      </c>
    </row>
    <row r="138" spans="1:20">
      <c r="A138" s="21">
        <v>2020</v>
      </c>
      <c r="B138" s="21">
        <v>2020</v>
      </c>
      <c r="C138" s="21" t="s">
        <v>17</v>
      </c>
      <c r="D138" s="21" t="s">
        <v>18</v>
      </c>
      <c r="E138" s="21" t="s">
        <v>38</v>
      </c>
      <c r="F138" s="3" t="s">
        <v>39</v>
      </c>
      <c r="G138" s="21" t="s">
        <v>40</v>
      </c>
      <c r="H138" s="21" t="s">
        <v>22</v>
      </c>
      <c r="I138" s="22">
        <v>703716490</v>
      </c>
      <c r="J138" s="21">
        <v>703716490</v>
      </c>
      <c r="K138" s="21" t="s">
        <v>26</v>
      </c>
      <c r="L138" s="21"/>
      <c r="M138" s="21" t="b">
        <v>1</v>
      </c>
      <c r="N138" s="21">
        <v>4</v>
      </c>
      <c r="O138" s="27">
        <v>703716490</v>
      </c>
      <c r="P138" s="21" t="s">
        <v>41</v>
      </c>
      <c r="Q138" s="21" t="s">
        <v>25</v>
      </c>
      <c r="R138" s="23">
        <v>703716490</v>
      </c>
      <c r="S138" s="23" t="e" cm="1">
        <f t="array" aca="1" ref="S138" ca="1">Table1[[#This Row],[Nominal TRY]]*_xlfn.XLOOKUP(Table1[[#This Row],[Year]],Table2[[#All],[Year]],Table2[[#All],[Deflator to 2023]])</f>
        <v>#NAME?</v>
      </c>
      <c r="T138" s="24" t="e" cm="1">
        <f t="array" aca="1" ref="T138" ca="1">Table1[[#This Row],[Nominal TRY]]/_xlfn.XLOOKUP(Table1[[#This Row],[Year]],Table3[[#All],[Year]],Table3[[#All],[Rate]])</f>
        <v>#NAME?</v>
      </c>
    </row>
    <row r="139" spans="1:20">
      <c r="A139" s="21">
        <v>2022</v>
      </c>
      <c r="B139" s="21">
        <v>2020</v>
      </c>
      <c r="C139" s="21" t="s">
        <v>17</v>
      </c>
      <c r="D139" s="21" t="s">
        <v>18</v>
      </c>
      <c r="E139" s="21" t="s">
        <v>47</v>
      </c>
      <c r="F139" s="3" t="s">
        <v>48</v>
      </c>
      <c r="G139" s="21" t="s">
        <v>40</v>
      </c>
      <c r="H139" s="21" t="s">
        <v>22</v>
      </c>
      <c r="I139" s="22">
        <v>4211216800</v>
      </c>
      <c r="J139" s="21">
        <v>4211216800</v>
      </c>
      <c r="K139" s="21" t="s">
        <v>26</v>
      </c>
      <c r="L139" s="25">
        <v>76.060857473634897</v>
      </c>
      <c r="M139" s="21" t="b">
        <v>1</v>
      </c>
      <c r="N139" s="21">
        <v>4</v>
      </c>
      <c r="O139" s="27">
        <v>2578410250</v>
      </c>
      <c r="P139" s="21" t="s">
        <v>24</v>
      </c>
      <c r="Q139" s="21" t="s">
        <v>25</v>
      </c>
      <c r="R139" s="23">
        <v>4211216800</v>
      </c>
      <c r="S139" s="23" t="e" cm="1">
        <f t="array" aca="1" ref="S139" ca="1">Table1[[#This Row],[Nominal TRY]]*_xlfn.XLOOKUP(Table1[[#This Row],[Year]],Table2[[#All],[Year]],Table2[[#All],[Deflator to 2023]])</f>
        <v>#NAME?</v>
      </c>
      <c r="T139" s="24" t="e" cm="1">
        <f t="array" aca="1" ref="T139" ca="1">Table1[[#This Row],[Nominal TRY]]/_xlfn.XLOOKUP(Table1[[#This Row],[Year]],Table3[[#All],[Year]],Table3[[#All],[Rate]])</f>
        <v>#NAME?</v>
      </c>
    </row>
    <row r="140" spans="1:20">
      <c r="A140" s="21">
        <v>2023</v>
      </c>
      <c r="B140" s="21">
        <v>2020</v>
      </c>
      <c r="C140" s="21" t="s">
        <v>17</v>
      </c>
      <c r="D140" s="21" t="s">
        <v>18</v>
      </c>
      <c r="E140" s="21" t="s">
        <v>47</v>
      </c>
      <c r="F140" s="3" t="s">
        <v>48</v>
      </c>
      <c r="G140" s="21" t="s">
        <v>40</v>
      </c>
      <c r="H140" s="21" t="s">
        <v>22</v>
      </c>
      <c r="I140" s="22">
        <v>5268207817</v>
      </c>
      <c r="J140" s="21">
        <v>5268207817</v>
      </c>
      <c r="K140" s="21" t="s">
        <v>26</v>
      </c>
      <c r="L140" s="25">
        <v>25.0994205997658</v>
      </c>
      <c r="M140" s="21" t="b">
        <v>1</v>
      </c>
      <c r="N140" s="21">
        <v>4</v>
      </c>
      <c r="O140" s="27">
        <v>2578410250</v>
      </c>
      <c r="P140" s="21" t="s">
        <v>24</v>
      </c>
      <c r="Q140" s="21" t="s">
        <v>25</v>
      </c>
      <c r="R140" s="23">
        <v>5268207817</v>
      </c>
      <c r="S140" s="23" t="e" cm="1">
        <f t="array" aca="1" ref="S140" ca="1">Table1[[#This Row],[Nominal TRY]]*_xlfn.XLOOKUP(Table1[[#This Row],[Year]],Table2[[#All],[Year]],Table2[[#All],[Deflator to 2023]])</f>
        <v>#NAME?</v>
      </c>
      <c r="T140" s="24" t="e" cm="1">
        <f t="array" aca="1" ref="T140" ca="1">Table1[[#This Row],[Nominal TRY]]/_xlfn.XLOOKUP(Table1[[#This Row],[Year]],Table3[[#All],[Year]],Table3[[#All],[Rate]])</f>
        <v>#NAME?</v>
      </c>
    </row>
    <row r="141" spans="1:20">
      <c r="A141" s="21">
        <v>2020</v>
      </c>
      <c r="B141" s="21">
        <v>2020</v>
      </c>
      <c r="C141" s="21" t="s">
        <v>17</v>
      </c>
      <c r="D141" s="21" t="s">
        <v>18</v>
      </c>
      <c r="E141" s="21" t="s">
        <v>47</v>
      </c>
      <c r="F141" s="3" t="s">
        <v>48</v>
      </c>
      <c r="G141" s="21" t="s">
        <v>40</v>
      </c>
      <c r="H141" s="21" t="s">
        <v>22</v>
      </c>
      <c r="I141" s="22">
        <v>4419994076</v>
      </c>
      <c r="J141" s="21">
        <v>4419994076</v>
      </c>
      <c r="K141" s="21" t="s">
        <v>26</v>
      </c>
      <c r="L141" s="21">
        <v>-16.100612778844699</v>
      </c>
      <c r="M141" s="21" t="b">
        <v>1</v>
      </c>
      <c r="N141" s="21">
        <v>4</v>
      </c>
      <c r="O141" s="27">
        <v>2578410250</v>
      </c>
      <c r="P141" s="21" t="s">
        <v>24</v>
      </c>
      <c r="Q141" s="21" t="s">
        <v>25</v>
      </c>
      <c r="R141" s="23">
        <v>4419994076</v>
      </c>
      <c r="S141" s="23" t="e" cm="1">
        <f t="array" aca="1" ref="S141" ca="1">Table1[[#This Row],[Nominal TRY]]*_xlfn.XLOOKUP(Table1[[#This Row],[Year]],Table2[[#All],[Year]],Table2[[#All],[Deflator to 2023]])</f>
        <v>#NAME?</v>
      </c>
      <c r="T141" s="24" t="e" cm="1">
        <f t="array" aca="1" ref="T141" ca="1">Table1[[#This Row],[Nominal TRY]]/_xlfn.XLOOKUP(Table1[[#This Row],[Year]],Table3[[#All],[Year]],Table3[[#All],[Rate]])</f>
        <v>#NAME?</v>
      </c>
    </row>
    <row r="142" spans="1:20" ht="29">
      <c r="A142" s="21">
        <v>2022</v>
      </c>
      <c r="B142" s="21">
        <v>2020</v>
      </c>
      <c r="C142" s="21" t="s">
        <v>17</v>
      </c>
      <c r="D142" s="21" t="s">
        <v>18</v>
      </c>
      <c r="E142" s="21" t="s">
        <v>19</v>
      </c>
      <c r="F142" s="3" t="s">
        <v>20</v>
      </c>
      <c r="G142" s="21" t="s">
        <v>21</v>
      </c>
      <c r="H142" s="21" t="s">
        <v>22</v>
      </c>
      <c r="I142" s="22">
        <v>6679500</v>
      </c>
      <c r="J142" s="21">
        <v>6679500</v>
      </c>
      <c r="K142" s="21" t="s">
        <v>23</v>
      </c>
      <c r="L142" s="21">
        <v>-52.2769390766668</v>
      </c>
      <c r="M142" s="21" t="b">
        <v>1</v>
      </c>
      <c r="N142" s="21">
        <v>4</v>
      </c>
      <c r="O142" s="27">
        <v>99912404.875</v>
      </c>
      <c r="P142" s="21" t="s">
        <v>24</v>
      </c>
      <c r="Q142" s="21" t="s">
        <v>25</v>
      </c>
      <c r="R142" s="23">
        <v>6679500</v>
      </c>
      <c r="S142" s="23" t="e" cm="1">
        <f t="array" aca="1" ref="S142" ca="1">Table1[[#This Row],[Nominal TRY]]*_xlfn.XLOOKUP(Table1[[#This Row],[Year]],Table2[[#All],[Year]],Table2[[#All],[Deflator to 2023]])</f>
        <v>#NAME?</v>
      </c>
      <c r="T142" s="24" t="e" cm="1">
        <f t="array" aca="1" ref="T142" ca="1">Table1[[#This Row],[Nominal TRY]]/_xlfn.XLOOKUP(Table1[[#This Row],[Year]],Table3[[#All],[Year]],Table3[[#All],[Rate]])</f>
        <v>#NAME?</v>
      </c>
    </row>
    <row r="143" spans="1:20" ht="29">
      <c r="A143" s="21">
        <v>2023</v>
      </c>
      <c r="B143" s="21">
        <v>2020</v>
      </c>
      <c r="C143" s="21" t="s">
        <v>17</v>
      </c>
      <c r="D143" s="21" t="s">
        <v>18</v>
      </c>
      <c r="E143" s="21" t="s">
        <v>19</v>
      </c>
      <c r="F143" s="3" t="s">
        <v>20</v>
      </c>
      <c r="G143" s="21" t="s">
        <v>21</v>
      </c>
      <c r="H143" s="21" t="s">
        <v>22</v>
      </c>
      <c r="I143" s="22">
        <v>6849353</v>
      </c>
      <c r="J143" s="21">
        <v>6849353</v>
      </c>
      <c r="K143" s="21" t="s">
        <v>23</v>
      </c>
      <c r="L143" s="25">
        <v>2.5428999176585001</v>
      </c>
      <c r="M143" s="21" t="b">
        <v>1</v>
      </c>
      <c r="N143" s="21">
        <v>4</v>
      </c>
      <c r="O143" s="27">
        <v>99912404.875</v>
      </c>
      <c r="P143" s="21" t="s">
        <v>24</v>
      </c>
      <c r="Q143" s="21" t="s">
        <v>25</v>
      </c>
      <c r="R143" s="23">
        <v>6849353</v>
      </c>
      <c r="S143" s="23" t="e" cm="1">
        <f t="array" aca="1" ref="S143" ca="1">Table1[[#This Row],[Nominal TRY]]*_xlfn.XLOOKUP(Table1[[#This Row],[Year]],Table2[[#All],[Year]],Table2[[#All],[Deflator to 2023]])</f>
        <v>#NAME?</v>
      </c>
      <c r="T143" s="24" t="e" cm="1">
        <f t="array" aca="1" ref="T143" ca="1">Table1[[#This Row],[Nominal TRY]]/_xlfn.XLOOKUP(Table1[[#This Row],[Year]],Table3[[#All],[Year]],Table3[[#All],[Rate]])</f>
        <v>#NAME?</v>
      </c>
    </row>
    <row r="144" spans="1:20" ht="29">
      <c r="A144" s="21">
        <v>2020</v>
      </c>
      <c r="B144" s="21">
        <v>2020</v>
      </c>
      <c r="C144" s="21" t="s">
        <v>17</v>
      </c>
      <c r="D144" s="21" t="s">
        <v>18</v>
      </c>
      <c r="E144" s="21" t="s">
        <v>19</v>
      </c>
      <c r="F144" s="3" t="s">
        <v>20</v>
      </c>
      <c r="G144" s="21" t="s">
        <v>21</v>
      </c>
      <c r="H144" s="21" t="s">
        <v>22</v>
      </c>
      <c r="I144" s="22">
        <v>8591640</v>
      </c>
      <c r="J144" s="21">
        <v>8591640</v>
      </c>
      <c r="K144" s="21" t="s">
        <v>23</v>
      </c>
      <c r="L144" s="25">
        <v>25.4372493285132</v>
      </c>
      <c r="M144" s="21" t="b">
        <v>1</v>
      </c>
      <c r="N144" s="21">
        <v>4</v>
      </c>
      <c r="O144" s="27">
        <v>99912404.875</v>
      </c>
      <c r="P144" s="21" t="s">
        <v>24</v>
      </c>
      <c r="Q144" s="21" t="s">
        <v>25</v>
      </c>
      <c r="R144" s="23">
        <v>8591640</v>
      </c>
      <c r="S144" s="23" t="e" cm="1">
        <f t="array" aca="1" ref="S144" ca="1">Table1[[#This Row],[Nominal TRY]]*_xlfn.XLOOKUP(Table1[[#This Row],[Year]],Table2[[#All],[Year]],Table2[[#All],[Deflator to 2023]])</f>
        <v>#NAME?</v>
      </c>
      <c r="T144" s="24" t="e" cm="1">
        <f t="array" aca="1" ref="T144" ca="1">Table1[[#This Row],[Nominal TRY]]/_xlfn.XLOOKUP(Table1[[#This Row],[Year]],Table3[[#All],[Year]],Table3[[#All],[Rate]])</f>
        <v>#NAME?</v>
      </c>
    </row>
    <row r="145" spans="1:20">
      <c r="A145" s="21">
        <v>2022</v>
      </c>
      <c r="B145" s="21">
        <v>2020</v>
      </c>
      <c r="C145" s="21" t="s">
        <v>17</v>
      </c>
      <c r="D145" s="21" t="s">
        <v>18</v>
      </c>
      <c r="E145" s="21" t="s">
        <v>67</v>
      </c>
      <c r="F145" s="3" t="s">
        <v>68</v>
      </c>
      <c r="G145" s="21" t="s">
        <v>61</v>
      </c>
      <c r="H145" s="21" t="s">
        <v>31</v>
      </c>
      <c r="I145" s="22">
        <v>703716490</v>
      </c>
      <c r="J145" s="21">
        <v>703716490</v>
      </c>
      <c r="K145" s="21" t="s">
        <v>26</v>
      </c>
      <c r="L145" s="21"/>
      <c r="M145" s="21" t="b">
        <v>1</v>
      </c>
      <c r="N145" s="21">
        <v>4</v>
      </c>
      <c r="O145" s="27">
        <v>703716490</v>
      </c>
      <c r="P145" s="21" t="s">
        <v>41</v>
      </c>
      <c r="Q145" s="21" t="s">
        <v>25</v>
      </c>
      <c r="R145" s="23">
        <v>703716490</v>
      </c>
      <c r="S145" s="23" t="e" cm="1">
        <f t="array" aca="1" ref="S145" ca="1">Table1[[#This Row],[Nominal TRY]]*_xlfn.XLOOKUP(Table1[[#This Row],[Year]],Table2[[#All],[Year]],Table2[[#All],[Deflator to 2023]])</f>
        <v>#NAME?</v>
      </c>
      <c r="T145" s="24" t="e" cm="1">
        <f t="array" aca="1" ref="T145" ca="1">Table1[[#This Row],[Nominal TRY]]/_xlfn.XLOOKUP(Table1[[#This Row],[Year]],Table3[[#All],[Year]],Table3[[#All],[Rate]])</f>
        <v>#NAME?</v>
      </c>
    </row>
    <row r="146" spans="1:20">
      <c r="A146" s="21">
        <v>2023</v>
      </c>
      <c r="B146" s="21">
        <v>2020</v>
      </c>
      <c r="C146" s="21" t="s">
        <v>17</v>
      </c>
      <c r="D146" s="21" t="s">
        <v>18</v>
      </c>
      <c r="E146" s="21" t="s">
        <v>67</v>
      </c>
      <c r="F146" s="3" t="s">
        <v>68</v>
      </c>
      <c r="G146" s="21" t="s">
        <v>61</v>
      </c>
      <c r="H146" s="21" t="s">
        <v>31</v>
      </c>
      <c r="I146" s="22">
        <v>703716490</v>
      </c>
      <c r="J146" s="21">
        <v>703716490</v>
      </c>
      <c r="K146" s="21" t="s">
        <v>26</v>
      </c>
      <c r="L146" s="21"/>
      <c r="M146" s="21" t="b">
        <v>1</v>
      </c>
      <c r="N146" s="21">
        <v>4</v>
      </c>
      <c r="O146" s="27">
        <v>703716490</v>
      </c>
      <c r="P146" s="21" t="s">
        <v>41</v>
      </c>
      <c r="Q146" s="21" t="s">
        <v>25</v>
      </c>
      <c r="R146" s="23">
        <v>703716490</v>
      </c>
      <c r="S146" s="23" t="e" cm="1">
        <f t="array" aca="1" ref="S146" ca="1">Table1[[#This Row],[Nominal TRY]]*_xlfn.XLOOKUP(Table1[[#This Row],[Year]],Table2[[#All],[Year]],Table2[[#All],[Deflator to 2023]])</f>
        <v>#NAME?</v>
      </c>
      <c r="T146" s="24" t="e" cm="1">
        <f t="array" aca="1" ref="T146" ca="1">Table1[[#This Row],[Nominal TRY]]/_xlfn.XLOOKUP(Table1[[#This Row],[Year]],Table3[[#All],[Year]],Table3[[#All],[Rate]])</f>
        <v>#NAME?</v>
      </c>
    </row>
    <row r="147" spans="1:20">
      <c r="A147" s="21">
        <v>2020</v>
      </c>
      <c r="B147" s="21">
        <v>2020</v>
      </c>
      <c r="C147" s="21" t="s">
        <v>17</v>
      </c>
      <c r="D147" s="21" t="s">
        <v>18</v>
      </c>
      <c r="E147" s="21" t="s">
        <v>67</v>
      </c>
      <c r="F147" s="3" t="s">
        <v>68</v>
      </c>
      <c r="G147" s="21" t="s">
        <v>61</v>
      </c>
      <c r="H147" s="21" t="s">
        <v>31</v>
      </c>
      <c r="I147" s="22">
        <v>703716490</v>
      </c>
      <c r="J147" s="21">
        <v>703716490</v>
      </c>
      <c r="K147" s="21" t="s">
        <v>26</v>
      </c>
      <c r="L147" s="21"/>
      <c r="M147" s="21" t="b">
        <v>1</v>
      </c>
      <c r="N147" s="21">
        <v>4</v>
      </c>
      <c r="O147" s="27">
        <v>703716490</v>
      </c>
      <c r="P147" s="21" t="s">
        <v>41</v>
      </c>
      <c r="Q147" s="21" t="s">
        <v>25</v>
      </c>
      <c r="R147" s="23">
        <v>703716490</v>
      </c>
      <c r="S147" s="23" t="e" cm="1">
        <f t="array" aca="1" ref="S147" ca="1">Table1[[#This Row],[Nominal TRY]]*_xlfn.XLOOKUP(Table1[[#This Row],[Year]],Table2[[#All],[Year]],Table2[[#All],[Deflator to 2023]])</f>
        <v>#NAME?</v>
      </c>
      <c r="T147" s="24" t="e" cm="1">
        <f t="array" aca="1" ref="T147" ca="1">Table1[[#This Row],[Nominal TRY]]/_xlfn.XLOOKUP(Table1[[#This Row],[Year]],Table3[[#All],[Year]],Table3[[#All],[Rate]])</f>
        <v>#NAME?</v>
      </c>
    </row>
    <row r="148" spans="1:20">
      <c r="A148" s="21">
        <v>2022</v>
      </c>
      <c r="B148" s="21">
        <v>2020</v>
      </c>
      <c r="C148" s="21" t="s">
        <v>17</v>
      </c>
      <c r="D148" s="21" t="s">
        <v>18</v>
      </c>
      <c r="E148" s="21" t="s">
        <v>98</v>
      </c>
      <c r="F148" s="3" t="s">
        <v>99</v>
      </c>
      <c r="G148" s="21" t="s">
        <v>21</v>
      </c>
      <c r="H148" s="21" t="s">
        <v>22</v>
      </c>
      <c r="I148" s="22">
        <v>35142752</v>
      </c>
      <c r="J148" s="21">
        <v>35142752</v>
      </c>
      <c r="K148" s="21" t="s">
        <v>23</v>
      </c>
      <c r="L148" s="25">
        <v>11665.154568767501</v>
      </c>
      <c r="M148" s="21" t="b">
        <v>1</v>
      </c>
      <c r="N148" s="21">
        <v>4</v>
      </c>
      <c r="O148" s="27">
        <v>16440389.375</v>
      </c>
      <c r="P148" s="21" t="s">
        <v>24</v>
      </c>
      <c r="Q148" s="21" t="s">
        <v>25</v>
      </c>
      <c r="R148" s="23">
        <v>35142752</v>
      </c>
      <c r="S148" s="23" t="e" cm="1">
        <f t="array" aca="1" ref="S148" ca="1">Table1[[#This Row],[Nominal TRY]]*_xlfn.XLOOKUP(Table1[[#This Row],[Year]],Table2[[#All],[Year]],Table2[[#All],[Deflator to 2023]])</f>
        <v>#NAME?</v>
      </c>
      <c r="T148" s="24" t="e" cm="1">
        <f t="array" aca="1" ref="T148" ca="1">Table1[[#This Row],[Nominal TRY]]/_xlfn.XLOOKUP(Table1[[#This Row],[Year]],Table3[[#All],[Year]],Table3[[#All],[Rate]])</f>
        <v>#NAME?</v>
      </c>
    </row>
    <row r="149" spans="1:20">
      <c r="A149" s="21">
        <v>2023</v>
      </c>
      <c r="B149" s="21">
        <v>2020</v>
      </c>
      <c r="C149" s="21" t="s">
        <v>17</v>
      </c>
      <c r="D149" s="21" t="s">
        <v>18</v>
      </c>
      <c r="E149" s="21" t="s">
        <v>98</v>
      </c>
      <c r="F149" s="3" t="s">
        <v>99</v>
      </c>
      <c r="G149" s="21" t="s">
        <v>21</v>
      </c>
      <c r="H149" s="21" t="s">
        <v>22</v>
      </c>
      <c r="I149" s="22">
        <v>65528693</v>
      </c>
      <c r="J149" s="21">
        <v>65528693</v>
      </c>
      <c r="K149" s="21" t="s">
        <v>23</v>
      </c>
      <c r="L149" s="25">
        <v>86.4643184460909</v>
      </c>
      <c r="M149" s="21" t="b">
        <v>1</v>
      </c>
      <c r="N149" s="21">
        <v>4</v>
      </c>
      <c r="O149" s="27">
        <v>16440389.375</v>
      </c>
      <c r="P149" s="21" t="s">
        <v>24</v>
      </c>
      <c r="Q149" s="21" t="s">
        <v>25</v>
      </c>
      <c r="R149" s="23">
        <v>65528693</v>
      </c>
      <c r="S149" s="23" t="e" cm="1">
        <f t="array" aca="1" ref="S149" ca="1">Table1[[#This Row],[Nominal TRY]]*_xlfn.XLOOKUP(Table1[[#This Row],[Year]],Table2[[#All],[Year]],Table2[[#All],[Deflator to 2023]])</f>
        <v>#NAME?</v>
      </c>
      <c r="T149" s="24" t="e" cm="1">
        <f t="array" aca="1" ref="T149" ca="1">Table1[[#This Row],[Nominal TRY]]/_xlfn.XLOOKUP(Table1[[#This Row],[Year]],Table3[[#All],[Year]],Table3[[#All],[Rate]])</f>
        <v>#NAME?</v>
      </c>
    </row>
    <row r="150" spans="1:20">
      <c r="A150" s="21">
        <v>2020</v>
      </c>
      <c r="B150" s="21">
        <v>2020</v>
      </c>
      <c r="C150" s="21" t="s">
        <v>17</v>
      </c>
      <c r="D150" s="21" t="s">
        <v>18</v>
      </c>
      <c r="E150" s="21" t="s">
        <v>98</v>
      </c>
      <c r="F150" s="3" t="s">
        <v>99</v>
      </c>
      <c r="G150" s="21" t="s">
        <v>21</v>
      </c>
      <c r="H150" s="21" t="s">
        <v>22</v>
      </c>
      <c r="I150" s="22">
        <v>10983088</v>
      </c>
      <c r="J150" s="21">
        <v>10983088</v>
      </c>
      <c r="K150" s="21" t="s">
        <v>23</v>
      </c>
      <c r="L150" s="21">
        <v>-83.239268941316993</v>
      </c>
      <c r="M150" s="21" t="b">
        <v>1</v>
      </c>
      <c r="N150" s="21">
        <v>4</v>
      </c>
      <c r="O150" s="27">
        <v>16440389.375</v>
      </c>
      <c r="P150" s="21" t="s">
        <v>24</v>
      </c>
      <c r="Q150" s="21" t="s">
        <v>25</v>
      </c>
      <c r="R150" s="23">
        <v>10983088</v>
      </c>
      <c r="S150" s="23" t="e" cm="1">
        <f t="array" aca="1" ref="S150" ca="1">Table1[[#This Row],[Nominal TRY]]*_xlfn.XLOOKUP(Table1[[#This Row],[Year]],Table2[[#All],[Year]],Table2[[#All],[Deflator to 2023]])</f>
        <v>#NAME?</v>
      </c>
      <c r="T150" s="24" t="e" cm="1">
        <f t="array" aca="1" ref="T150" ca="1">Table1[[#This Row],[Nominal TRY]]/_xlfn.XLOOKUP(Table1[[#This Row],[Year]],Table3[[#All],[Year]],Table3[[#All],[Rate]])</f>
        <v>#NAME?</v>
      </c>
    </row>
    <row r="151" spans="1:20">
      <c r="A151" s="21">
        <v>2022</v>
      </c>
      <c r="B151" s="21">
        <v>2020</v>
      </c>
      <c r="C151" s="21" t="s">
        <v>17</v>
      </c>
      <c r="D151" s="21" t="s">
        <v>18</v>
      </c>
      <c r="E151" s="21" t="s">
        <v>38</v>
      </c>
      <c r="F151" s="3" t="s">
        <v>39</v>
      </c>
      <c r="G151" s="21" t="s">
        <v>40</v>
      </c>
      <c r="H151" s="21" t="s">
        <v>22</v>
      </c>
      <c r="I151" s="22">
        <v>703716490</v>
      </c>
      <c r="J151" s="21">
        <v>703716490</v>
      </c>
      <c r="K151" s="21" t="s">
        <v>26</v>
      </c>
      <c r="L151" s="21"/>
      <c r="M151" s="21" t="b">
        <v>1</v>
      </c>
      <c r="N151" s="21">
        <v>4</v>
      </c>
      <c r="O151" s="27">
        <v>703716490</v>
      </c>
      <c r="P151" s="21" t="s">
        <v>41</v>
      </c>
      <c r="Q151" s="21" t="s">
        <v>25</v>
      </c>
      <c r="R151" s="23">
        <v>703716490</v>
      </c>
      <c r="S151" s="23" t="e" cm="1">
        <f t="array" aca="1" ref="S151" ca="1">Table1[[#This Row],[Nominal TRY]]*_xlfn.XLOOKUP(Table1[[#This Row],[Year]],Table2[[#All],[Year]],Table2[[#All],[Deflator to 2023]])</f>
        <v>#NAME?</v>
      </c>
      <c r="T151" s="24" t="e" cm="1">
        <f t="array" aca="1" ref="T151" ca="1">Table1[[#This Row],[Nominal TRY]]/_xlfn.XLOOKUP(Table1[[#This Row],[Year]],Table3[[#All],[Year]],Table3[[#All],[Rate]])</f>
        <v>#NAME?</v>
      </c>
    </row>
    <row r="152" spans="1:20">
      <c r="A152" s="21">
        <v>2023</v>
      </c>
      <c r="B152" s="21">
        <v>2020</v>
      </c>
      <c r="C152" s="21" t="s">
        <v>17</v>
      </c>
      <c r="D152" s="21" t="s">
        <v>18</v>
      </c>
      <c r="E152" s="21" t="s">
        <v>38</v>
      </c>
      <c r="F152" s="3" t="s">
        <v>39</v>
      </c>
      <c r="G152" s="21" t="s">
        <v>40</v>
      </c>
      <c r="H152" s="21" t="s">
        <v>22</v>
      </c>
      <c r="I152" s="22">
        <v>703716490</v>
      </c>
      <c r="J152" s="21">
        <v>703716490</v>
      </c>
      <c r="K152" s="21" t="s">
        <v>26</v>
      </c>
      <c r="L152" s="21"/>
      <c r="M152" s="21" t="b">
        <v>1</v>
      </c>
      <c r="N152" s="21">
        <v>4</v>
      </c>
      <c r="O152" s="27">
        <v>703716490</v>
      </c>
      <c r="P152" s="21" t="s">
        <v>41</v>
      </c>
      <c r="Q152" s="21" t="s">
        <v>25</v>
      </c>
      <c r="R152" s="23">
        <v>703716490</v>
      </c>
      <c r="S152" s="23" t="e" cm="1">
        <f t="array" aca="1" ref="S152" ca="1">Table1[[#This Row],[Nominal TRY]]*_xlfn.XLOOKUP(Table1[[#This Row],[Year]],Table2[[#All],[Year]],Table2[[#All],[Deflator to 2023]])</f>
        <v>#NAME?</v>
      </c>
      <c r="T152" s="24" t="e" cm="1">
        <f t="array" aca="1" ref="T152" ca="1">Table1[[#This Row],[Nominal TRY]]/_xlfn.XLOOKUP(Table1[[#This Row],[Year]],Table3[[#All],[Year]],Table3[[#All],[Rate]])</f>
        <v>#NAME?</v>
      </c>
    </row>
    <row r="153" spans="1:20">
      <c r="A153" s="21">
        <v>2020</v>
      </c>
      <c r="B153" s="21">
        <v>2020</v>
      </c>
      <c r="C153" s="21" t="s">
        <v>17</v>
      </c>
      <c r="D153" s="21" t="s">
        <v>18</v>
      </c>
      <c r="E153" s="21" t="s">
        <v>38</v>
      </c>
      <c r="F153" s="3" t="s">
        <v>39</v>
      </c>
      <c r="G153" s="21" t="s">
        <v>40</v>
      </c>
      <c r="H153" s="21" t="s">
        <v>22</v>
      </c>
      <c r="I153" s="22">
        <v>703716490</v>
      </c>
      <c r="J153" s="21">
        <v>703716490</v>
      </c>
      <c r="K153" s="21" t="s">
        <v>26</v>
      </c>
      <c r="L153" s="21"/>
      <c r="M153" s="21" t="b">
        <v>1</v>
      </c>
      <c r="N153" s="21">
        <v>4</v>
      </c>
      <c r="O153" s="27">
        <v>703716490</v>
      </c>
      <c r="P153" s="21" t="s">
        <v>41</v>
      </c>
      <c r="Q153" s="21" t="s">
        <v>25</v>
      </c>
      <c r="R153" s="23">
        <v>703716490</v>
      </c>
      <c r="S153" s="23" t="e" cm="1">
        <f t="array" aca="1" ref="S153" ca="1">Table1[[#This Row],[Nominal TRY]]*_xlfn.XLOOKUP(Table1[[#This Row],[Year]],Table2[[#All],[Year]],Table2[[#All],[Deflator to 2023]])</f>
        <v>#NAME?</v>
      </c>
      <c r="T153" s="24" t="e" cm="1">
        <f t="array" aca="1" ref="T153" ca="1">Table1[[#This Row],[Nominal TRY]]/_xlfn.XLOOKUP(Table1[[#This Row],[Year]],Table3[[#All],[Year]],Table3[[#All],[Rate]])</f>
        <v>#NAME?</v>
      </c>
    </row>
    <row r="154" spans="1:20">
      <c r="A154" s="21">
        <v>2022</v>
      </c>
      <c r="B154" s="21">
        <v>2020</v>
      </c>
      <c r="C154" s="21" t="s">
        <v>17</v>
      </c>
      <c r="D154" s="21" t="s">
        <v>18</v>
      </c>
      <c r="E154" s="21" t="s">
        <v>67</v>
      </c>
      <c r="F154" s="3" t="s">
        <v>68</v>
      </c>
      <c r="G154" s="21" t="s">
        <v>61</v>
      </c>
      <c r="H154" s="21" t="s">
        <v>31</v>
      </c>
      <c r="I154" s="22">
        <v>703716490</v>
      </c>
      <c r="J154" s="21">
        <v>703716490</v>
      </c>
      <c r="K154" s="21" t="s">
        <v>26</v>
      </c>
      <c r="L154" s="21"/>
      <c r="M154" s="21" t="b">
        <v>1</v>
      </c>
      <c r="N154" s="21">
        <v>4</v>
      </c>
      <c r="O154" s="27">
        <v>703716490</v>
      </c>
      <c r="P154" s="21" t="s">
        <v>41</v>
      </c>
      <c r="Q154" s="21" t="s">
        <v>25</v>
      </c>
      <c r="R154" s="23">
        <v>703716490</v>
      </c>
      <c r="S154" s="23" t="e" cm="1">
        <f t="array" aca="1" ref="S154" ca="1">Table1[[#This Row],[Nominal TRY]]*_xlfn.XLOOKUP(Table1[[#This Row],[Year]],Table2[[#All],[Year]],Table2[[#All],[Deflator to 2023]])</f>
        <v>#NAME?</v>
      </c>
      <c r="T154" s="24" t="e" cm="1">
        <f t="array" aca="1" ref="T154" ca="1">Table1[[#This Row],[Nominal TRY]]/_xlfn.XLOOKUP(Table1[[#This Row],[Year]],Table3[[#All],[Year]],Table3[[#All],[Rate]])</f>
        <v>#NAME?</v>
      </c>
    </row>
    <row r="155" spans="1:20">
      <c r="A155" s="21">
        <v>2023</v>
      </c>
      <c r="B155" s="21">
        <v>2020</v>
      </c>
      <c r="C155" s="21" t="s">
        <v>17</v>
      </c>
      <c r="D155" s="21" t="s">
        <v>18</v>
      </c>
      <c r="E155" s="21" t="s">
        <v>67</v>
      </c>
      <c r="F155" s="3" t="s">
        <v>68</v>
      </c>
      <c r="G155" s="21" t="s">
        <v>61</v>
      </c>
      <c r="H155" s="21" t="s">
        <v>31</v>
      </c>
      <c r="I155" s="22">
        <v>703716490</v>
      </c>
      <c r="J155" s="21">
        <v>703716490</v>
      </c>
      <c r="K155" s="21" t="s">
        <v>26</v>
      </c>
      <c r="L155" s="21"/>
      <c r="M155" s="21" t="b">
        <v>1</v>
      </c>
      <c r="N155" s="21">
        <v>4</v>
      </c>
      <c r="O155" s="27">
        <v>703716490</v>
      </c>
      <c r="P155" s="21" t="s">
        <v>41</v>
      </c>
      <c r="Q155" s="21" t="s">
        <v>25</v>
      </c>
      <c r="R155" s="23">
        <v>703716490</v>
      </c>
      <c r="S155" s="23" t="e" cm="1">
        <f t="array" aca="1" ref="S155" ca="1">Table1[[#This Row],[Nominal TRY]]*_xlfn.XLOOKUP(Table1[[#This Row],[Year]],Table2[[#All],[Year]],Table2[[#All],[Deflator to 2023]])</f>
        <v>#NAME?</v>
      </c>
      <c r="T155" s="24" t="e" cm="1">
        <f t="array" aca="1" ref="T155" ca="1">Table1[[#This Row],[Nominal TRY]]/_xlfn.XLOOKUP(Table1[[#This Row],[Year]],Table3[[#All],[Year]],Table3[[#All],[Rate]])</f>
        <v>#NAME?</v>
      </c>
    </row>
    <row r="156" spans="1:20">
      <c r="A156" s="21">
        <v>2020</v>
      </c>
      <c r="B156" s="21">
        <v>2020</v>
      </c>
      <c r="C156" s="21" t="s">
        <v>17</v>
      </c>
      <c r="D156" s="21" t="s">
        <v>18</v>
      </c>
      <c r="E156" s="21" t="s">
        <v>67</v>
      </c>
      <c r="F156" s="3" t="s">
        <v>68</v>
      </c>
      <c r="G156" s="21" t="s">
        <v>61</v>
      </c>
      <c r="H156" s="21" t="s">
        <v>31</v>
      </c>
      <c r="I156" s="22">
        <v>703716490</v>
      </c>
      <c r="J156" s="21">
        <v>703716490</v>
      </c>
      <c r="K156" s="21" t="s">
        <v>26</v>
      </c>
      <c r="L156" s="21"/>
      <c r="M156" s="21" t="b">
        <v>1</v>
      </c>
      <c r="N156" s="21">
        <v>4</v>
      </c>
      <c r="O156" s="27">
        <v>703716490</v>
      </c>
      <c r="P156" s="21" t="s">
        <v>41</v>
      </c>
      <c r="Q156" s="21" t="s">
        <v>25</v>
      </c>
      <c r="R156" s="23">
        <v>703716490</v>
      </c>
      <c r="S156" s="23" t="e" cm="1">
        <f t="array" aca="1" ref="S156" ca="1">Table1[[#This Row],[Nominal TRY]]*_xlfn.XLOOKUP(Table1[[#This Row],[Year]],Table2[[#All],[Year]],Table2[[#All],[Deflator to 2023]])</f>
        <v>#NAME?</v>
      </c>
      <c r="T156" s="24" t="e" cm="1">
        <f t="array" aca="1" ref="T156" ca="1">Table1[[#This Row],[Nominal TRY]]/_xlfn.XLOOKUP(Table1[[#This Row],[Year]],Table3[[#All],[Year]],Table3[[#All],[Rate]])</f>
        <v>#NAME?</v>
      </c>
    </row>
    <row r="157" spans="1:20" ht="29">
      <c r="A157" s="21">
        <v>2022</v>
      </c>
      <c r="B157" s="21">
        <v>2020</v>
      </c>
      <c r="C157" s="21" t="s">
        <v>17</v>
      </c>
      <c r="D157" s="21" t="s">
        <v>18</v>
      </c>
      <c r="E157" s="21" t="s">
        <v>114</v>
      </c>
      <c r="F157" s="3" t="s">
        <v>115</v>
      </c>
      <c r="G157" s="21" t="s">
        <v>21</v>
      </c>
      <c r="H157" s="21" t="s">
        <v>22</v>
      </c>
      <c r="I157" s="22">
        <v>703716490</v>
      </c>
      <c r="J157" s="21">
        <v>703716490</v>
      </c>
      <c r="K157" s="21" t="s">
        <v>26</v>
      </c>
      <c r="L157" s="25">
        <v>360780.25128205097</v>
      </c>
      <c r="M157" s="21" t="b">
        <v>1</v>
      </c>
      <c r="N157" s="21">
        <v>4</v>
      </c>
      <c r="O157" s="27">
        <v>351976579.75</v>
      </c>
      <c r="P157" s="21" t="s">
        <v>24</v>
      </c>
      <c r="Q157" s="21" t="s">
        <v>25</v>
      </c>
      <c r="R157" s="23">
        <v>703716490</v>
      </c>
      <c r="S157" s="23" t="e" cm="1">
        <f t="array" aca="1" ref="S157" ca="1">Table1[[#This Row],[Nominal TRY]]*_xlfn.XLOOKUP(Table1[[#This Row],[Year]],Table2[[#All],[Year]],Table2[[#All],[Deflator to 2023]])</f>
        <v>#NAME?</v>
      </c>
      <c r="T157" s="24" t="e" cm="1">
        <f t="array" aca="1" ref="T157" ca="1">Table1[[#This Row],[Nominal TRY]]/_xlfn.XLOOKUP(Table1[[#This Row],[Year]],Table3[[#All],[Year]],Table3[[#All],[Rate]])</f>
        <v>#NAME?</v>
      </c>
    </row>
    <row r="158" spans="1:20" ht="29">
      <c r="A158" s="21">
        <v>2023</v>
      </c>
      <c r="B158" s="21">
        <v>2020</v>
      </c>
      <c r="C158" s="21" t="s">
        <v>17</v>
      </c>
      <c r="D158" s="21" t="s">
        <v>18</v>
      </c>
      <c r="E158" s="21" t="s">
        <v>114</v>
      </c>
      <c r="F158" s="3" t="s">
        <v>115</v>
      </c>
      <c r="G158" s="21" t="s">
        <v>21</v>
      </c>
      <c r="H158" s="21" t="s">
        <v>22</v>
      </c>
      <c r="I158" s="22">
        <v>703716490</v>
      </c>
      <c r="J158" s="21">
        <v>703716490</v>
      </c>
      <c r="K158" s="21" t="s">
        <v>26</v>
      </c>
      <c r="L158" s="21"/>
      <c r="M158" s="21" t="b">
        <v>1</v>
      </c>
      <c r="N158" s="21">
        <v>4</v>
      </c>
      <c r="O158" s="27">
        <v>351976579.75</v>
      </c>
      <c r="P158" s="21" t="s">
        <v>24</v>
      </c>
      <c r="Q158" s="21" t="s">
        <v>25</v>
      </c>
      <c r="R158" s="23">
        <v>703716490</v>
      </c>
      <c r="S158" s="23" t="e" cm="1">
        <f t="array" aca="1" ref="S158" ca="1">Table1[[#This Row],[Nominal TRY]]*_xlfn.XLOOKUP(Table1[[#This Row],[Year]],Table2[[#All],[Year]],Table2[[#All],[Deflator to 2023]])</f>
        <v>#NAME?</v>
      </c>
      <c r="T158" s="24" t="e" cm="1">
        <f t="array" aca="1" ref="T158" ca="1">Table1[[#This Row],[Nominal TRY]]/_xlfn.XLOOKUP(Table1[[#This Row],[Year]],Table3[[#All],[Year]],Table3[[#All],[Rate]])</f>
        <v>#NAME?</v>
      </c>
    </row>
    <row r="159" spans="1:20" ht="29">
      <c r="A159" s="21">
        <v>2020</v>
      </c>
      <c r="B159" s="21">
        <v>2020</v>
      </c>
      <c r="C159" s="21" t="s">
        <v>17</v>
      </c>
      <c r="D159" s="21" t="s">
        <v>18</v>
      </c>
      <c r="E159" s="21" t="s">
        <v>114</v>
      </c>
      <c r="F159" s="3" t="s">
        <v>115</v>
      </c>
      <c r="G159" s="21" t="s">
        <v>21</v>
      </c>
      <c r="H159" s="21" t="s">
        <v>22</v>
      </c>
      <c r="I159" s="22">
        <v>120000</v>
      </c>
      <c r="J159" s="21">
        <v>120000</v>
      </c>
      <c r="K159" s="21" t="s">
        <v>32</v>
      </c>
      <c r="L159" s="21">
        <v>-99.982947678261695</v>
      </c>
      <c r="M159" s="21" t="b">
        <v>1</v>
      </c>
      <c r="N159" s="21">
        <v>4</v>
      </c>
      <c r="O159" s="27">
        <v>351976579.75</v>
      </c>
      <c r="P159" s="21" t="s">
        <v>24</v>
      </c>
      <c r="Q159" s="21" t="s">
        <v>25</v>
      </c>
      <c r="R159" s="23">
        <v>120000</v>
      </c>
      <c r="S159" s="23" t="e" cm="1">
        <f t="array" aca="1" ref="S159" ca="1">Table1[[#This Row],[Nominal TRY]]*_xlfn.XLOOKUP(Table1[[#This Row],[Year]],Table2[[#All],[Year]],Table2[[#All],[Deflator to 2023]])</f>
        <v>#NAME?</v>
      </c>
      <c r="T159" s="24" t="e" cm="1">
        <f t="array" aca="1" ref="T159" ca="1">Table1[[#This Row],[Nominal TRY]]/_xlfn.XLOOKUP(Table1[[#This Row],[Year]],Table3[[#All],[Year]],Table3[[#All],[Rate]])</f>
        <v>#NAME?</v>
      </c>
    </row>
    <row r="160" spans="1:20">
      <c r="A160" s="21">
        <v>2022</v>
      </c>
      <c r="B160" s="21">
        <v>2020</v>
      </c>
      <c r="C160" s="21" t="s">
        <v>17</v>
      </c>
      <c r="D160" s="21" t="s">
        <v>18</v>
      </c>
      <c r="E160" s="21" t="s">
        <v>65</v>
      </c>
      <c r="F160" s="3" t="s">
        <v>66</v>
      </c>
      <c r="G160" s="21" t="s">
        <v>30</v>
      </c>
      <c r="H160" s="21" t="s">
        <v>22</v>
      </c>
      <c r="I160" s="22">
        <v>9483763505</v>
      </c>
      <c r="J160" s="21">
        <v>9483763505</v>
      </c>
      <c r="K160" s="21" t="s">
        <v>26</v>
      </c>
      <c r="L160" s="25">
        <v>12717.8660761795</v>
      </c>
      <c r="M160" s="21" t="b">
        <v>1</v>
      </c>
      <c r="N160" s="21">
        <v>4</v>
      </c>
      <c r="O160" s="27">
        <v>2742906750</v>
      </c>
      <c r="P160" s="21" t="s">
        <v>24</v>
      </c>
      <c r="Q160" s="21" t="s">
        <v>25</v>
      </c>
      <c r="R160" s="23">
        <v>9483763505</v>
      </c>
      <c r="S160" s="23" t="e" cm="1">
        <f t="array" aca="1" ref="S160" ca="1">Table1[[#This Row],[Nominal TRY]]*_xlfn.XLOOKUP(Table1[[#This Row],[Year]],Table2[[#All],[Year]],Table2[[#All],[Deflator to 2023]])</f>
        <v>#NAME?</v>
      </c>
      <c r="T160" s="24" t="e" cm="1">
        <f t="array" aca="1" ref="T160" ca="1">Table1[[#This Row],[Nominal TRY]]/_xlfn.XLOOKUP(Table1[[#This Row],[Year]],Table3[[#All],[Year]],Table3[[#All],[Rate]])</f>
        <v>#NAME?</v>
      </c>
    </row>
    <row r="161" spans="1:20">
      <c r="A161" s="21">
        <v>2023</v>
      </c>
      <c r="B161" s="21">
        <v>2020</v>
      </c>
      <c r="C161" s="21" t="s">
        <v>17</v>
      </c>
      <c r="D161" s="21" t="s">
        <v>18</v>
      </c>
      <c r="E161" s="21" t="s">
        <v>65</v>
      </c>
      <c r="F161" s="3" t="s">
        <v>66</v>
      </c>
      <c r="G161" s="21" t="s">
        <v>30</v>
      </c>
      <c r="H161" s="21" t="s">
        <v>22</v>
      </c>
      <c r="I161" s="22">
        <v>8840528395</v>
      </c>
      <c r="J161" s="21">
        <v>8840528395</v>
      </c>
      <c r="K161" s="21" t="s">
        <v>26</v>
      </c>
      <c r="L161" s="21">
        <v>-6.7824878768948098</v>
      </c>
      <c r="M161" s="21" t="b">
        <v>1</v>
      </c>
      <c r="N161" s="21">
        <v>4</v>
      </c>
      <c r="O161" s="27">
        <v>2742906750</v>
      </c>
      <c r="P161" s="21" t="s">
        <v>24</v>
      </c>
      <c r="Q161" s="21" t="s">
        <v>25</v>
      </c>
      <c r="R161" s="23">
        <v>8840528395</v>
      </c>
      <c r="S161" s="23" t="e" cm="1">
        <f t="array" aca="1" ref="S161" ca="1">Table1[[#This Row],[Nominal TRY]]*_xlfn.XLOOKUP(Table1[[#This Row],[Year]],Table2[[#All],[Year]],Table2[[#All],[Deflator to 2023]])</f>
        <v>#NAME?</v>
      </c>
      <c r="T161" s="24" t="e" cm="1">
        <f t="array" aca="1" ref="T161" ca="1">Table1[[#This Row],[Nominal TRY]]/_xlfn.XLOOKUP(Table1[[#This Row],[Year]],Table3[[#All],[Year]],Table3[[#All],[Rate]])</f>
        <v>#NAME?</v>
      </c>
    </row>
    <row r="162" spans="1:20">
      <c r="A162" s="21">
        <v>2020</v>
      </c>
      <c r="B162" s="21">
        <v>2020</v>
      </c>
      <c r="C162" s="21" t="s">
        <v>17</v>
      </c>
      <c r="D162" s="21" t="s">
        <v>18</v>
      </c>
      <c r="E162" s="21" t="s">
        <v>65</v>
      </c>
      <c r="F162" s="3" t="s">
        <v>66</v>
      </c>
      <c r="G162" s="21" t="s">
        <v>30</v>
      </c>
      <c r="H162" s="21" t="s">
        <v>22</v>
      </c>
      <c r="I162" s="22">
        <v>666753370</v>
      </c>
      <c r="J162" s="21">
        <v>666753370</v>
      </c>
      <c r="K162" s="21" t="s">
        <v>26</v>
      </c>
      <c r="L162" s="21">
        <v>-92.457991873233496</v>
      </c>
      <c r="M162" s="21" t="b">
        <v>1</v>
      </c>
      <c r="N162" s="21">
        <v>4</v>
      </c>
      <c r="O162" s="27">
        <v>2742906750</v>
      </c>
      <c r="P162" s="21" t="s">
        <v>24</v>
      </c>
      <c r="Q162" s="21" t="s">
        <v>25</v>
      </c>
      <c r="R162" s="23">
        <v>666753370</v>
      </c>
      <c r="S162" s="23" t="e" cm="1">
        <f t="array" aca="1" ref="S162" ca="1">Table1[[#This Row],[Nominal TRY]]*_xlfn.XLOOKUP(Table1[[#This Row],[Year]],Table2[[#All],[Year]],Table2[[#All],[Deflator to 2023]])</f>
        <v>#NAME?</v>
      </c>
      <c r="T162" s="24" t="e" cm="1">
        <f t="array" aca="1" ref="T162" ca="1">Table1[[#This Row],[Nominal TRY]]/_xlfn.XLOOKUP(Table1[[#This Row],[Year]],Table3[[#All],[Year]],Table3[[#All],[Rate]])</f>
        <v>#NAME?</v>
      </c>
    </row>
    <row r="163" spans="1:20">
      <c r="A163" s="21">
        <v>2021</v>
      </c>
      <c r="B163" s="21">
        <v>2020</v>
      </c>
      <c r="C163" s="21" t="s">
        <v>17</v>
      </c>
      <c r="D163" s="21" t="s">
        <v>18</v>
      </c>
      <c r="E163" s="21" t="s">
        <v>28</v>
      </c>
      <c r="F163" s="3" t="s">
        <v>29</v>
      </c>
      <c r="G163" s="21" t="s">
        <v>30</v>
      </c>
      <c r="H163" s="21" t="s">
        <v>31</v>
      </c>
      <c r="I163" s="22">
        <v>14705</v>
      </c>
      <c r="J163" s="21">
        <v>14705</v>
      </c>
      <c r="K163" s="21" t="s">
        <v>32</v>
      </c>
      <c r="L163" s="25">
        <v>110.763938655582</v>
      </c>
      <c r="M163" s="21" t="b">
        <v>1</v>
      </c>
      <c r="N163" s="21">
        <v>4</v>
      </c>
      <c r="O163" s="28">
        <v>64491.166666666599</v>
      </c>
      <c r="P163" s="21" t="s">
        <v>24</v>
      </c>
      <c r="Q163" s="21" t="s">
        <v>25</v>
      </c>
      <c r="R163" s="23">
        <v>14705</v>
      </c>
      <c r="S163" s="23" t="e" cm="1">
        <f t="array" aca="1" ref="S163" ca="1">Table1[[#This Row],[Nominal TRY]]*_xlfn.XLOOKUP(Table1[[#This Row],[Year]],Table2[[#All],[Year]],Table2[[#All],[Deflator to 2023]])</f>
        <v>#NAME?</v>
      </c>
      <c r="T163" s="24" t="e" cm="1">
        <f t="array" aca="1" ref="T163" ca="1">Table1[[#This Row],[Nominal TRY]]/_xlfn.XLOOKUP(Table1[[#This Row],[Year]],Table3[[#All],[Year]],Table3[[#All],[Rate]])</f>
        <v>#NAME?</v>
      </c>
    </row>
    <row r="164" spans="1:20">
      <c r="A164" s="21">
        <v>2020</v>
      </c>
      <c r="B164" s="21">
        <v>2020</v>
      </c>
      <c r="C164" s="21" t="s">
        <v>17</v>
      </c>
      <c r="D164" s="21" t="s">
        <v>18</v>
      </c>
      <c r="E164" s="21" t="s">
        <v>34</v>
      </c>
      <c r="F164" s="3" t="s">
        <v>35</v>
      </c>
      <c r="G164" s="21" t="s">
        <v>21</v>
      </c>
      <c r="H164" s="21" t="s">
        <v>22</v>
      </c>
      <c r="I164" s="22">
        <v>174531</v>
      </c>
      <c r="J164" s="21">
        <v>174531</v>
      </c>
      <c r="K164" s="21" t="s">
        <v>32</v>
      </c>
      <c r="L164" s="25">
        <v>10.515817735113</v>
      </c>
      <c r="M164" s="21" t="b">
        <v>1</v>
      </c>
      <c r="N164" s="21">
        <v>4</v>
      </c>
      <c r="O164" s="27">
        <v>153547.625</v>
      </c>
      <c r="P164" s="21" t="s">
        <v>36</v>
      </c>
      <c r="Q164" s="21" t="s">
        <v>25</v>
      </c>
      <c r="R164" s="23">
        <v>174531</v>
      </c>
      <c r="S164" s="23" t="e" cm="1">
        <f t="array" aca="1" ref="S164" ca="1">Table1[[#This Row],[Nominal TRY]]*_xlfn.XLOOKUP(Table1[[#This Row],[Year]],Table2[[#All],[Year]],Table2[[#All],[Deflator to 2023]])</f>
        <v>#NAME?</v>
      </c>
      <c r="T164" s="24" t="e" cm="1">
        <f t="array" aca="1" ref="T164" ca="1">Table1[[#This Row],[Nominal TRY]]/_xlfn.XLOOKUP(Table1[[#This Row],[Year]],Table3[[#All],[Year]],Table3[[#All],[Rate]])</f>
        <v>#NAME?</v>
      </c>
    </row>
    <row r="165" spans="1:20">
      <c r="A165" s="21">
        <v>2021</v>
      </c>
      <c r="B165" s="21">
        <v>2020</v>
      </c>
      <c r="C165" s="21" t="s">
        <v>17</v>
      </c>
      <c r="D165" s="21" t="s">
        <v>18</v>
      </c>
      <c r="E165" s="21" t="s">
        <v>44</v>
      </c>
      <c r="F165" s="3" t="s">
        <v>45</v>
      </c>
      <c r="G165" s="21" t="s">
        <v>40</v>
      </c>
      <c r="H165" s="21" t="s">
        <v>22</v>
      </c>
      <c r="I165" s="22">
        <v>167977000</v>
      </c>
      <c r="J165" s="21">
        <v>167977000</v>
      </c>
      <c r="K165" s="21" t="s">
        <v>26</v>
      </c>
      <c r="L165" s="21">
        <v>-69.885585411153897</v>
      </c>
      <c r="M165" s="21" t="b">
        <v>1</v>
      </c>
      <c r="N165" s="21">
        <v>4</v>
      </c>
      <c r="O165" s="27">
        <v>769230750</v>
      </c>
      <c r="P165" s="21" t="s">
        <v>36</v>
      </c>
      <c r="Q165" s="21" t="s">
        <v>25</v>
      </c>
      <c r="R165" s="23">
        <v>167977000</v>
      </c>
      <c r="S165" s="23" t="e" cm="1">
        <f t="array" aca="1" ref="S165" ca="1">Table1[[#This Row],[Nominal TRY]]*_xlfn.XLOOKUP(Table1[[#This Row],[Year]],Table2[[#All],[Year]],Table2[[#All],[Deflator to 2023]])</f>
        <v>#NAME?</v>
      </c>
      <c r="T165" s="24" t="e" cm="1">
        <f t="array" aca="1" ref="T165" ca="1">Table1[[#This Row],[Nominal TRY]]/_xlfn.XLOOKUP(Table1[[#This Row],[Year]],Table3[[#All],[Year]],Table3[[#All],[Rate]])</f>
        <v>#NAME?</v>
      </c>
    </row>
    <row r="166" spans="1:20">
      <c r="A166" s="21">
        <v>2021</v>
      </c>
      <c r="B166" s="21">
        <v>2020</v>
      </c>
      <c r="C166" s="21" t="s">
        <v>17</v>
      </c>
      <c r="D166" s="21" t="s">
        <v>18</v>
      </c>
      <c r="E166" s="21" t="s">
        <v>28</v>
      </c>
      <c r="F166" s="3" t="s">
        <v>29</v>
      </c>
      <c r="G166" s="21" t="s">
        <v>30</v>
      </c>
      <c r="H166" s="21" t="s">
        <v>31</v>
      </c>
      <c r="I166" s="22">
        <v>6741</v>
      </c>
      <c r="J166" s="21">
        <v>6741</v>
      </c>
      <c r="K166" s="21" t="s">
        <v>32</v>
      </c>
      <c r="L166" s="21">
        <v>-54.158449506970399</v>
      </c>
      <c r="M166" s="21" t="b">
        <v>1</v>
      </c>
      <c r="N166" s="21">
        <v>4</v>
      </c>
      <c r="O166" s="28">
        <v>64491.166666666599</v>
      </c>
      <c r="P166" s="21" t="s">
        <v>24</v>
      </c>
      <c r="Q166" s="21" t="s">
        <v>25</v>
      </c>
      <c r="R166" s="23">
        <v>6741</v>
      </c>
      <c r="S166" s="23" t="e" cm="1">
        <f t="array" aca="1" ref="S166" ca="1">Table1[[#This Row],[Nominal TRY]]*_xlfn.XLOOKUP(Table1[[#This Row],[Year]],Table2[[#All],[Year]],Table2[[#All],[Deflator to 2023]])</f>
        <v>#NAME?</v>
      </c>
      <c r="T166" s="24" t="e" cm="1">
        <f t="array" aca="1" ref="T166" ca="1">Table1[[#This Row],[Nominal TRY]]/_xlfn.XLOOKUP(Table1[[#This Row],[Year]],Table3[[#All],[Year]],Table3[[#All],[Rate]])</f>
        <v>#NAME?</v>
      </c>
    </row>
    <row r="167" spans="1:20">
      <c r="A167" s="21">
        <v>2021</v>
      </c>
      <c r="B167" s="21">
        <v>2020</v>
      </c>
      <c r="C167" s="21" t="s">
        <v>17</v>
      </c>
      <c r="D167" s="21" t="s">
        <v>18</v>
      </c>
      <c r="E167" s="21" t="s">
        <v>47</v>
      </c>
      <c r="F167" s="3" t="s">
        <v>48</v>
      </c>
      <c r="G167" s="21" t="s">
        <v>40</v>
      </c>
      <c r="H167" s="21" t="s">
        <v>22</v>
      </c>
      <c r="I167" s="22">
        <v>1955556949</v>
      </c>
      <c r="J167" s="21">
        <v>1955556949</v>
      </c>
      <c r="K167" s="21" t="s">
        <v>26</v>
      </c>
      <c r="L167" s="21">
        <v>-55.7565708149152</v>
      </c>
      <c r="M167" s="21" t="b">
        <v>1</v>
      </c>
      <c r="N167" s="21">
        <v>4</v>
      </c>
      <c r="O167" s="27">
        <v>2578410250</v>
      </c>
      <c r="P167" s="21" t="s">
        <v>24</v>
      </c>
      <c r="Q167" s="21" t="s">
        <v>25</v>
      </c>
      <c r="R167" s="23">
        <v>1955556949</v>
      </c>
      <c r="S167" s="23" t="e" cm="1">
        <f t="array" aca="1" ref="S167" ca="1">Table1[[#This Row],[Nominal TRY]]*_xlfn.XLOOKUP(Table1[[#This Row],[Year]],Table2[[#All],[Year]],Table2[[#All],[Deflator to 2023]])</f>
        <v>#NAME?</v>
      </c>
      <c r="T167" s="24" t="e" cm="1">
        <f t="array" aca="1" ref="T167" ca="1">Table1[[#This Row],[Nominal TRY]]/_xlfn.XLOOKUP(Table1[[#This Row],[Year]],Table3[[#All],[Year]],Table3[[#All],[Rate]])</f>
        <v>#NAME?</v>
      </c>
    </row>
    <row r="168" spans="1:20">
      <c r="A168" s="21">
        <v>2021</v>
      </c>
      <c r="B168" s="21">
        <v>2020</v>
      </c>
      <c r="C168" s="21" t="s">
        <v>17</v>
      </c>
      <c r="D168" s="21" t="s">
        <v>18</v>
      </c>
      <c r="E168" s="21" t="s">
        <v>51</v>
      </c>
      <c r="F168" s="3" t="s">
        <v>52</v>
      </c>
      <c r="G168" s="21" t="s">
        <v>30</v>
      </c>
      <c r="H168" s="21" t="s">
        <v>22</v>
      </c>
      <c r="I168" s="22">
        <v>703716490</v>
      </c>
      <c r="J168" s="21">
        <v>703716490</v>
      </c>
      <c r="K168" s="21" t="s">
        <v>26</v>
      </c>
      <c r="L168" s="21"/>
      <c r="M168" s="21" t="b">
        <v>1</v>
      </c>
      <c r="N168" s="21">
        <v>4</v>
      </c>
      <c r="O168" s="27">
        <v>703716490</v>
      </c>
      <c r="P168" s="21" t="s">
        <v>41</v>
      </c>
      <c r="Q168" s="21" t="s">
        <v>25</v>
      </c>
      <c r="R168" s="23">
        <v>703716490</v>
      </c>
      <c r="S168" s="23" t="e" cm="1">
        <f t="array" aca="1" ref="S168" ca="1">Table1[[#This Row],[Nominal TRY]]*_xlfn.XLOOKUP(Table1[[#This Row],[Year]],Table2[[#All],[Year]],Table2[[#All],[Deflator to 2023]])</f>
        <v>#NAME?</v>
      </c>
      <c r="T168" s="24" t="e" cm="1">
        <f t="array" aca="1" ref="T168" ca="1">Table1[[#This Row],[Nominal TRY]]/_xlfn.XLOOKUP(Table1[[#This Row],[Year]],Table3[[#All],[Year]],Table3[[#All],[Rate]])</f>
        <v>#NAME?</v>
      </c>
    </row>
    <row r="169" spans="1:20">
      <c r="A169" s="21">
        <v>2022</v>
      </c>
      <c r="B169" s="21">
        <v>2020</v>
      </c>
      <c r="C169" s="21" t="s">
        <v>17</v>
      </c>
      <c r="D169" s="21" t="s">
        <v>18</v>
      </c>
      <c r="E169" s="21" t="s">
        <v>47</v>
      </c>
      <c r="F169" s="3" t="s">
        <v>48</v>
      </c>
      <c r="G169" s="21" t="s">
        <v>40</v>
      </c>
      <c r="H169" s="21" t="s">
        <v>22</v>
      </c>
      <c r="I169" s="22">
        <v>724232248</v>
      </c>
      <c r="J169" s="21">
        <v>724232248</v>
      </c>
      <c r="K169" s="21" t="s">
        <v>26</v>
      </c>
      <c r="L169" s="21">
        <v>-62.965422798331403</v>
      </c>
      <c r="M169" s="21" t="b">
        <v>1</v>
      </c>
      <c r="N169" s="21">
        <v>4</v>
      </c>
      <c r="O169" s="27">
        <v>2578410250</v>
      </c>
      <c r="P169" s="21" t="s">
        <v>24</v>
      </c>
      <c r="Q169" s="21" t="s">
        <v>25</v>
      </c>
      <c r="R169" s="23">
        <v>724232248</v>
      </c>
      <c r="S169" s="23" t="e" cm="1">
        <f t="array" aca="1" ref="S169" ca="1">Table1[[#This Row],[Nominal TRY]]*_xlfn.XLOOKUP(Table1[[#This Row],[Year]],Table2[[#All],[Year]],Table2[[#All],[Deflator to 2023]])</f>
        <v>#NAME?</v>
      </c>
      <c r="T169" s="24" t="e" cm="1">
        <f t="array" aca="1" ref="T169" ca="1">Table1[[#This Row],[Nominal TRY]]/_xlfn.XLOOKUP(Table1[[#This Row],[Year]],Table3[[#All],[Year]],Table3[[#All],[Rate]])</f>
        <v>#NAME?</v>
      </c>
    </row>
    <row r="170" spans="1:20">
      <c r="A170" s="21">
        <v>2023</v>
      </c>
      <c r="B170" s="21">
        <v>2020</v>
      </c>
      <c r="C170" s="21" t="s">
        <v>17</v>
      </c>
      <c r="D170" s="21" t="s">
        <v>18</v>
      </c>
      <c r="E170" s="21" t="s">
        <v>47</v>
      </c>
      <c r="F170" s="3" t="s">
        <v>48</v>
      </c>
      <c r="G170" s="21" t="s">
        <v>40</v>
      </c>
      <c r="H170" s="21" t="s">
        <v>22</v>
      </c>
      <c r="I170" s="22">
        <v>906010346</v>
      </c>
      <c r="J170" s="21">
        <v>906010346</v>
      </c>
      <c r="K170" s="21" t="s">
        <v>26</v>
      </c>
      <c r="L170" s="25">
        <v>25.099420593599401</v>
      </c>
      <c r="M170" s="21" t="b">
        <v>1</v>
      </c>
      <c r="N170" s="21">
        <v>4</v>
      </c>
      <c r="O170" s="27">
        <v>2578410250</v>
      </c>
      <c r="P170" s="21" t="s">
        <v>24</v>
      </c>
      <c r="Q170" s="21" t="s">
        <v>25</v>
      </c>
      <c r="R170" s="23">
        <v>906010346</v>
      </c>
      <c r="S170" s="23" t="e" cm="1">
        <f t="array" aca="1" ref="S170" ca="1">Table1[[#This Row],[Nominal TRY]]*_xlfn.XLOOKUP(Table1[[#This Row],[Year]],Table2[[#All],[Year]],Table2[[#All],[Deflator to 2023]])</f>
        <v>#NAME?</v>
      </c>
      <c r="T170" s="24" t="e" cm="1">
        <f t="array" aca="1" ref="T170" ca="1">Table1[[#This Row],[Nominal TRY]]/_xlfn.XLOOKUP(Table1[[#This Row],[Year]],Table3[[#All],[Year]],Table3[[#All],[Rate]])</f>
        <v>#NAME?</v>
      </c>
    </row>
    <row r="171" spans="1:20">
      <c r="A171" s="21">
        <v>2020</v>
      </c>
      <c r="B171" s="21">
        <v>2020</v>
      </c>
      <c r="C171" s="21" t="s">
        <v>17</v>
      </c>
      <c r="D171" s="21" t="s">
        <v>18</v>
      </c>
      <c r="E171" s="21" t="s">
        <v>47</v>
      </c>
      <c r="F171" s="3" t="s">
        <v>48</v>
      </c>
      <c r="G171" s="21" t="s">
        <v>40</v>
      </c>
      <c r="H171" s="21" t="s">
        <v>22</v>
      </c>
      <c r="I171" s="22">
        <v>1620024183</v>
      </c>
      <c r="J171" s="21">
        <v>1620024183</v>
      </c>
      <c r="K171" s="21" t="s">
        <v>26</v>
      </c>
      <c r="L171" s="25">
        <v>78.808574333874105</v>
      </c>
      <c r="M171" s="21" t="b">
        <v>1</v>
      </c>
      <c r="N171" s="21">
        <v>4</v>
      </c>
      <c r="O171" s="27">
        <v>2578410250</v>
      </c>
      <c r="P171" s="21" t="s">
        <v>24</v>
      </c>
      <c r="Q171" s="21" t="s">
        <v>25</v>
      </c>
      <c r="R171" s="23">
        <v>1620024183</v>
      </c>
      <c r="S171" s="23" t="e" cm="1">
        <f t="array" aca="1" ref="S171" ca="1">Table1[[#This Row],[Nominal TRY]]*_xlfn.XLOOKUP(Table1[[#This Row],[Year]],Table2[[#All],[Year]],Table2[[#All],[Deflator to 2023]])</f>
        <v>#NAME?</v>
      </c>
      <c r="T171" s="24" t="e" cm="1">
        <f t="array" aca="1" ref="T171" ca="1">Table1[[#This Row],[Nominal TRY]]/_xlfn.XLOOKUP(Table1[[#This Row],[Year]],Table3[[#All],[Year]],Table3[[#All],[Rate]])</f>
        <v>#NAME?</v>
      </c>
    </row>
    <row r="172" spans="1:20">
      <c r="A172" s="21">
        <v>2022</v>
      </c>
      <c r="B172" s="21">
        <v>2020</v>
      </c>
      <c r="C172" s="21" t="s">
        <v>17</v>
      </c>
      <c r="D172" s="21" t="s">
        <v>18</v>
      </c>
      <c r="E172" s="21" t="s">
        <v>56</v>
      </c>
      <c r="F172" s="3" t="s">
        <v>57</v>
      </c>
      <c r="G172" s="21" t="s">
        <v>21</v>
      </c>
      <c r="H172" s="21" t="s">
        <v>22</v>
      </c>
      <c r="I172" s="22">
        <v>2100997</v>
      </c>
      <c r="J172" s="21">
        <v>2100997</v>
      </c>
      <c r="K172" s="21" t="s">
        <v>23</v>
      </c>
      <c r="L172" s="21">
        <v>-97.678889721551101</v>
      </c>
      <c r="M172" s="21" t="b">
        <v>1</v>
      </c>
      <c r="N172" s="21">
        <v>4</v>
      </c>
      <c r="O172" s="27">
        <v>190634414.125</v>
      </c>
      <c r="P172" s="21" t="s">
        <v>24</v>
      </c>
      <c r="Q172" s="21" t="s">
        <v>25</v>
      </c>
      <c r="R172" s="23">
        <v>2100997</v>
      </c>
      <c r="S172" s="23" t="e" cm="1">
        <f t="array" aca="1" ref="S172" ca="1">Table1[[#This Row],[Nominal TRY]]*_xlfn.XLOOKUP(Table1[[#This Row],[Year]],Table2[[#All],[Year]],Table2[[#All],[Deflator to 2023]])</f>
        <v>#NAME?</v>
      </c>
      <c r="T172" s="24" t="e" cm="1">
        <f t="array" aca="1" ref="T172" ca="1">Table1[[#This Row],[Nominal TRY]]/_xlfn.XLOOKUP(Table1[[#This Row],[Year]],Table3[[#All],[Year]],Table3[[#All],[Rate]])</f>
        <v>#NAME?</v>
      </c>
    </row>
    <row r="173" spans="1:20">
      <c r="A173" s="21">
        <v>2021</v>
      </c>
      <c r="B173" s="21">
        <v>2020</v>
      </c>
      <c r="C173" s="21" t="s">
        <v>17</v>
      </c>
      <c r="D173" s="21" t="s">
        <v>18</v>
      </c>
      <c r="E173" s="21" t="s">
        <v>59</v>
      </c>
      <c r="F173" s="3" t="s">
        <v>60</v>
      </c>
      <c r="G173" s="21" t="s">
        <v>61</v>
      </c>
      <c r="H173" s="21" t="s">
        <v>31</v>
      </c>
      <c r="I173" s="22">
        <v>1468400000</v>
      </c>
      <c r="J173" s="21">
        <v>1468400000</v>
      </c>
      <c r="K173" s="21" t="s">
        <v>26</v>
      </c>
      <c r="L173" s="25">
        <v>20.855967078189298</v>
      </c>
      <c r="M173" s="21" t="b">
        <v>1</v>
      </c>
      <c r="N173" s="21">
        <v>4</v>
      </c>
      <c r="O173" s="27">
        <v>1289654122.5</v>
      </c>
      <c r="P173" s="21" t="s">
        <v>24</v>
      </c>
      <c r="Q173" s="21" t="s">
        <v>25</v>
      </c>
      <c r="R173" s="23">
        <v>1468400000</v>
      </c>
      <c r="S173" s="23" t="e" cm="1">
        <f t="array" aca="1" ref="S173" ca="1">Table1[[#This Row],[Nominal TRY]]*_xlfn.XLOOKUP(Table1[[#This Row],[Year]],Table2[[#All],[Year]],Table2[[#All],[Deflator to 2023]])</f>
        <v>#NAME?</v>
      </c>
      <c r="T173" s="24" t="e" cm="1">
        <f t="array" aca="1" ref="T173" ca="1">Table1[[#This Row],[Nominal TRY]]/_xlfn.XLOOKUP(Table1[[#This Row],[Year]],Table3[[#All],[Year]],Table3[[#All],[Rate]])</f>
        <v>#NAME?</v>
      </c>
    </row>
    <row r="174" spans="1:20">
      <c r="A174" s="21">
        <v>2021</v>
      </c>
      <c r="B174" s="21">
        <v>2020</v>
      </c>
      <c r="C174" s="21" t="s">
        <v>17</v>
      </c>
      <c r="D174" s="21" t="s">
        <v>18</v>
      </c>
      <c r="E174" s="21" t="s">
        <v>56</v>
      </c>
      <c r="F174" s="3" t="s">
        <v>57</v>
      </c>
      <c r="G174" s="21" t="s">
        <v>21</v>
      </c>
      <c r="H174" s="21" t="s">
        <v>22</v>
      </c>
      <c r="I174" s="22">
        <v>4911513</v>
      </c>
      <c r="J174" s="21">
        <v>4911513</v>
      </c>
      <c r="K174" s="21" t="s">
        <v>23</v>
      </c>
      <c r="L174" s="25">
        <v>133.77058605985599</v>
      </c>
      <c r="M174" s="21" t="b">
        <v>1</v>
      </c>
      <c r="N174" s="21">
        <v>4</v>
      </c>
      <c r="O174" s="27">
        <v>190634414.125</v>
      </c>
      <c r="P174" s="21" t="s">
        <v>24</v>
      </c>
      <c r="Q174" s="21" t="s">
        <v>25</v>
      </c>
      <c r="R174" s="23">
        <v>4911513</v>
      </c>
      <c r="S174" s="23" t="e" cm="1">
        <f t="array" aca="1" ref="S174" ca="1">Table1[[#This Row],[Nominal TRY]]*_xlfn.XLOOKUP(Table1[[#This Row],[Year]],Table2[[#All],[Year]],Table2[[#All],[Deflator to 2023]])</f>
        <v>#NAME?</v>
      </c>
      <c r="T174" s="24" t="e" cm="1">
        <f t="array" aca="1" ref="T174" ca="1">Table1[[#This Row],[Nominal TRY]]/_xlfn.XLOOKUP(Table1[[#This Row],[Year]],Table3[[#All],[Year]],Table3[[#All],[Rate]])</f>
        <v>#NAME?</v>
      </c>
    </row>
    <row r="175" spans="1:20">
      <c r="A175" s="21">
        <v>2021</v>
      </c>
      <c r="B175" s="21">
        <v>2020</v>
      </c>
      <c r="C175" s="21" t="s">
        <v>17</v>
      </c>
      <c r="D175" s="21" t="s">
        <v>18</v>
      </c>
      <c r="E175" s="21" t="s">
        <v>65</v>
      </c>
      <c r="F175" s="3" t="s">
        <v>66</v>
      </c>
      <c r="G175" s="21" t="s">
        <v>30</v>
      </c>
      <c r="H175" s="21" t="s">
        <v>22</v>
      </c>
      <c r="I175" s="22">
        <v>111013786</v>
      </c>
      <c r="J175" s="21">
        <v>111013786</v>
      </c>
      <c r="K175" s="21" t="s">
        <v>26</v>
      </c>
      <c r="L175" s="21">
        <v>-83.350097503069193</v>
      </c>
      <c r="M175" s="21" t="b">
        <v>1</v>
      </c>
      <c r="N175" s="21">
        <v>4</v>
      </c>
      <c r="O175" s="27">
        <v>2742906750</v>
      </c>
      <c r="P175" s="21" t="s">
        <v>24</v>
      </c>
      <c r="Q175" s="21" t="s">
        <v>25</v>
      </c>
      <c r="R175" s="23">
        <v>111013786</v>
      </c>
      <c r="S175" s="23" t="e" cm="1">
        <f t="array" aca="1" ref="S175" ca="1">Table1[[#This Row],[Nominal TRY]]*_xlfn.XLOOKUP(Table1[[#This Row],[Year]],Table2[[#All],[Year]],Table2[[#All],[Deflator to 2023]])</f>
        <v>#NAME?</v>
      </c>
      <c r="T175" s="24" t="e" cm="1">
        <f t="array" aca="1" ref="T175" ca="1">Table1[[#This Row],[Nominal TRY]]/_xlfn.XLOOKUP(Table1[[#This Row],[Year]],Table3[[#All],[Year]],Table3[[#All],[Rate]])</f>
        <v>#NAME?</v>
      </c>
    </row>
    <row r="176" spans="1:20">
      <c r="A176" s="21">
        <v>2021</v>
      </c>
      <c r="B176" s="21">
        <v>2020</v>
      </c>
      <c r="C176" s="21" t="s">
        <v>17</v>
      </c>
      <c r="D176" s="21" t="s">
        <v>18</v>
      </c>
      <c r="E176" s="21" t="s">
        <v>67</v>
      </c>
      <c r="F176" s="3" t="s">
        <v>68</v>
      </c>
      <c r="G176" s="21" t="s">
        <v>61</v>
      </c>
      <c r="H176" s="21" t="s">
        <v>31</v>
      </c>
      <c r="I176" s="22">
        <v>703716490</v>
      </c>
      <c r="J176" s="21">
        <v>703716490</v>
      </c>
      <c r="K176" s="21" t="s">
        <v>26</v>
      </c>
      <c r="L176" s="21"/>
      <c r="M176" s="21" t="b">
        <v>1</v>
      </c>
      <c r="N176" s="21">
        <v>4</v>
      </c>
      <c r="O176" s="27">
        <v>703716490</v>
      </c>
      <c r="P176" s="21" t="s">
        <v>41</v>
      </c>
      <c r="Q176" s="21" t="s">
        <v>25</v>
      </c>
      <c r="R176" s="23">
        <v>703716490</v>
      </c>
      <c r="S176" s="23" t="e" cm="1">
        <f t="array" aca="1" ref="S176" ca="1">Table1[[#This Row],[Nominal TRY]]*_xlfn.XLOOKUP(Table1[[#This Row],[Year]],Table2[[#All],[Year]],Table2[[#All],[Deflator to 2023]])</f>
        <v>#NAME?</v>
      </c>
      <c r="T176" s="24" t="e" cm="1">
        <f t="array" aca="1" ref="T176" ca="1">Table1[[#This Row],[Nominal TRY]]/_xlfn.XLOOKUP(Table1[[#This Row],[Year]],Table3[[#All],[Year]],Table3[[#All],[Rate]])</f>
        <v>#NAME?</v>
      </c>
    </row>
    <row r="177" spans="1:20">
      <c r="A177" s="21">
        <v>2021</v>
      </c>
      <c r="B177" s="21">
        <v>2020</v>
      </c>
      <c r="C177" s="21" t="s">
        <v>17</v>
      </c>
      <c r="D177" s="21" t="s">
        <v>18</v>
      </c>
      <c r="E177" s="21" t="s">
        <v>69</v>
      </c>
      <c r="F177" s="3" t="s">
        <v>70</v>
      </c>
      <c r="G177" s="21" t="s">
        <v>21</v>
      </c>
      <c r="H177" s="21" t="s">
        <v>22</v>
      </c>
      <c r="I177" s="22">
        <v>703716490</v>
      </c>
      <c r="J177" s="21">
        <v>703716490</v>
      </c>
      <c r="K177" s="21" t="s">
        <v>26</v>
      </c>
      <c r="L177" s="21"/>
      <c r="M177" s="21" t="b">
        <v>1</v>
      </c>
      <c r="N177" s="21">
        <v>4</v>
      </c>
      <c r="O177" s="27">
        <v>703716490</v>
      </c>
      <c r="P177" s="21" t="s">
        <v>41</v>
      </c>
      <c r="Q177" s="21" t="s">
        <v>25</v>
      </c>
      <c r="R177" s="23">
        <v>703716490</v>
      </c>
      <c r="S177" s="23" t="e" cm="1">
        <f t="array" aca="1" ref="S177" ca="1">Table1[[#This Row],[Nominal TRY]]*_xlfn.XLOOKUP(Table1[[#This Row],[Year]],Table2[[#All],[Year]],Table2[[#All],[Deflator to 2023]])</f>
        <v>#NAME?</v>
      </c>
      <c r="T177" s="24" t="e" cm="1">
        <f t="array" aca="1" ref="T177" ca="1">Table1[[#This Row],[Nominal TRY]]/_xlfn.XLOOKUP(Table1[[#This Row],[Year]],Table3[[#All],[Year]],Table3[[#All],[Rate]])</f>
        <v>#NAME?</v>
      </c>
    </row>
    <row r="178" spans="1:20">
      <c r="A178" s="21">
        <v>2021</v>
      </c>
      <c r="B178" s="21">
        <v>2020</v>
      </c>
      <c r="C178" s="21" t="s">
        <v>17</v>
      </c>
      <c r="D178" s="21" t="s">
        <v>18</v>
      </c>
      <c r="E178" s="21" t="s">
        <v>47</v>
      </c>
      <c r="F178" s="3" t="s">
        <v>48</v>
      </c>
      <c r="G178" s="21" t="s">
        <v>40</v>
      </c>
      <c r="H178" s="21" t="s">
        <v>22</v>
      </c>
      <c r="I178" s="22">
        <v>803740431</v>
      </c>
      <c r="J178" s="21">
        <v>803740431</v>
      </c>
      <c r="K178" s="21" t="s">
        <v>26</v>
      </c>
      <c r="L178" s="21">
        <v>-50.387133757990298</v>
      </c>
      <c r="M178" s="21" t="b">
        <v>1</v>
      </c>
      <c r="N178" s="21">
        <v>4</v>
      </c>
      <c r="O178" s="27">
        <v>2578410250</v>
      </c>
      <c r="P178" s="21" t="s">
        <v>24</v>
      </c>
      <c r="Q178" s="21" t="s">
        <v>25</v>
      </c>
      <c r="R178" s="23">
        <v>803740431</v>
      </c>
      <c r="S178" s="23" t="e" cm="1">
        <f t="array" aca="1" ref="S178" ca="1">Table1[[#This Row],[Nominal TRY]]*_xlfn.XLOOKUP(Table1[[#This Row],[Year]],Table2[[#All],[Year]],Table2[[#All],[Deflator to 2023]])</f>
        <v>#NAME?</v>
      </c>
      <c r="T178" s="24" t="e" cm="1">
        <f t="array" aca="1" ref="T178" ca="1">Table1[[#This Row],[Nominal TRY]]/_xlfn.XLOOKUP(Table1[[#This Row],[Year]],Table3[[#All],[Year]],Table3[[#All],[Rate]])</f>
        <v>#NAME?</v>
      </c>
    </row>
    <row r="179" spans="1:20">
      <c r="A179" s="21">
        <v>2021</v>
      </c>
      <c r="B179" s="21">
        <v>2020</v>
      </c>
      <c r="C179" s="21" t="s">
        <v>17</v>
      </c>
      <c r="D179" s="21" t="s">
        <v>18</v>
      </c>
      <c r="E179" s="21" t="s">
        <v>71</v>
      </c>
      <c r="F179" s="3" t="s">
        <v>72</v>
      </c>
      <c r="G179" s="21" t="s">
        <v>21</v>
      </c>
      <c r="H179" s="21" t="s">
        <v>22</v>
      </c>
      <c r="I179" s="22">
        <v>148394102</v>
      </c>
      <c r="J179" s="21">
        <v>148394102</v>
      </c>
      <c r="K179" s="21" t="s">
        <v>26</v>
      </c>
      <c r="L179" s="25">
        <v>406.00849984851499</v>
      </c>
      <c r="M179" s="21" t="b">
        <v>1</v>
      </c>
      <c r="N179" s="21">
        <v>4</v>
      </c>
      <c r="O179" s="27">
        <v>140908336.375</v>
      </c>
      <c r="P179" s="21" t="s">
        <v>24</v>
      </c>
      <c r="Q179" s="21" t="s">
        <v>25</v>
      </c>
      <c r="R179" s="23">
        <v>148394102</v>
      </c>
      <c r="S179" s="23" t="e" cm="1">
        <f t="array" aca="1" ref="S179" ca="1">Table1[[#This Row],[Nominal TRY]]*_xlfn.XLOOKUP(Table1[[#This Row],[Year]],Table2[[#All],[Year]],Table2[[#All],[Deflator to 2023]])</f>
        <v>#NAME?</v>
      </c>
      <c r="T179" s="24" t="e" cm="1">
        <f t="array" aca="1" ref="T179" ca="1">Table1[[#This Row],[Nominal TRY]]/_xlfn.XLOOKUP(Table1[[#This Row],[Year]],Table3[[#All],[Year]],Table3[[#All],[Rate]])</f>
        <v>#NAME?</v>
      </c>
    </row>
    <row r="180" spans="1:20">
      <c r="A180" s="21">
        <v>2021</v>
      </c>
      <c r="B180" s="21">
        <v>2020</v>
      </c>
      <c r="C180" s="21" t="s">
        <v>17</v>
      </c>
      <c r="D180" s="21" t="s">
        <v>18</v>
      </c>
      <c r="E180" s="21" t="s">
        <v>28</v>
      </c>
      <c r="F180" s="3" t="s">
        <v>29</v>
      </c>
      <c r="G180" s="21" t="s">
        <v>30</v>
      </c>
      <c r="H180" s="21" t="s">
        <v>31</v>
      </c>
      <c r="I180" s="22">
        <v>270747</v>
      </c>
      <c r="J180" s="21">
        <v>270747</v>
      </c>
      <c r="K180" s="21" t="s">
        <v>32</v>
      </c>
      <c r="L180" s="25">
        <v>3916.42189586114</v>
      </c>
      <c r="M180" s="21" t="b">
        <v>1</v>
      </c>
      <c r="N180" s="21">
        <v>4</v>
      </c>
      <c r="O180" s="28">
        <v>64491.166666666599</v>
      </c>
      <c r="P180" s="21" t="s">
        <v>24</v>
      </c>
      <c r="Q180" s="21" t="s">
        <v>25</v>
      </c>
      <c r="R180" s="23">
        <v>270747</v>
      </c>
      <c r="S180" s="23" t="e" cm="1">
        <f t="array" aca="1" ref="S180" ca="1">Table1[[#This Row],[Nominal TRY]]*_xlfn.XLOOKUP(Table1[[#This Row],[Year]],Table2[[#All],[Year]],Table2[[#All],[Deflator to 2023]])</f>
        <v>#NAME?</v>
      </c>
      <c r="T180" s="24" t="e" cm="1">
        <f t="array" aca="1" ref="T180" ca="1">Table1[[#This Row],[Nominal TRY]]/_xlfn.XLOOKUP(Table1[[#This Row],[Year]],Table3[[#All],[Year]],Table3[[#All],[Rate]])</f>
        <v>#NAME?</v>
      </c>
    </row>
    <row r="181" spans="1:20" ht="29">
      <c r="A181" s="21">
        <v>2021</v>
      </c>
      <c r="B181" s="21">
        <v>2020</v>
      </c>
      <c r="C181" s="21" t="s">
        <v>17</v>
      </c>
      <c r="D181" s="21" t="s">
        <v>18</v>
      </c>
      <c r="E181" s="21" t="s">
        <v>42</v>
      </c>
      <c r="F181" s="3" t="s">
        <v>43</v>
      </c>
      <c r="G181" s="21" t="s">
        <v>21</v>
      </c>
      <c r="H181" s="21" t="s">
        <v>22</v>
      </c>
      <c r="I181" s="22">
        <v>136502</v>
      </c>
      <c r="J181" s="21">
        <v>136502</v>
      </c>
      <c r="K181" s="21" t="s">
        <v>32</v>
      </c>
      <c r="L181" s="25">
        <v>23.607287742683202</v>
      </c>
      <c r="M181" s="21" t="b">
        <v>1</v>
      </c>
      <c r="N181" s="21">
        <v>4</v>
      </c>
      <c r="O181" s="27">
        <v>88658573</v>
      </c>
      <c r="P181" s="21" t="s">
        <v>24</v>
      </c>
      <c r="Q181" s="21" t="s">
        <v>25</v>
      </c>
      <c r="R181" s="23">
        <v>136502</v>
      </c>
      <c r="S181" s="23" t="e" cm="1">
        <f t="array" aca="1" ref="S181" ca="1">Table1[[#This Row],[Nominal TRY]]*_xlfn.XLOOKUP(Table1[[#This Row],[Year]],Table2[[#All],[Year]],Table2[[#All],[Deflator to 2023]])</f>
        <v>#NAME?</v>
      </c>
      <c r="T181" s="24" t="e" cm="1">
        <f t="array" aca="1" ref="T181" ca="1">Table1[[#This Row],[Nominal TRY]]/_xlfn.XLOOKUP(Table1[[#This Row],[Year]],Table3[[#All],[Year]],Table3[[#All],[Rate]])</f>
        <v>#NAME?</v>
      </c>
    </row>
    <row r="182" spans="1:20">
      <c r="A182" s="21">
        <v>2021</v>
      </c>
      <c r="B182" s="21">
        <v>2020</v>
      </c>
      <c r="C182" s="21" t="s">
        <v>17</v>
      </c>
      <c r="D182" s="21" t="s">
        <v>18</v>
      </c>
      <c r="E182" s="21" t="s">
        <v>78</v>
      </c>
      <c r="F182" s="3" t="s">
        <v>79</v>
      </c>
      <c r="G182" s="21" t="s">
        <v>61</v>
      </c>
      <c r="H182" s="21" t="s">
        <v>31</v>
      </c>
      <c r="I182" s="22">
        <v>806267499</v>
      </c>
      <c r="J182" s="21">
        <v>806267499</v>
      </c>
      <c r="K182" s="21" t="s">
        <v>26</v>
      </c>
      <c r="L182" s="25">
        <v>39.292298531409003</v>
      </c>
      <c r="M182" s="21" t="b">
        <v>1</v>
      </c>
      <c r="N182" s="21">
        <v>4</v>
      </c>
      <c r="O182" s="27">
        <v>738429122.5</v>
      </c>
      <c r="P182" s="21" t="s">
        <v>36</v>
      </c>
      <c r="Q182" s="21" t="s">
        <v>25</v>
      </c>
      <c r="R182" s="23">
        <v>806267499</v>
      </c>
      <c r="S182" s="23" t="e" cm="1">
        <f t="array" aca="1" ref="S182" ca="1">Table1[[#This Row],[Nominal TRY]]*_xlfn.XLOOKUP(Table1[[#This Row],[Year]],Table2[[#All],[Year]],Table2[[#All],[Deflator to 2023]])</f>
        <v>#NAME?</v>
      </c>
      <c r="T182" s="24" t="e" cm="1">
        <f t="array" aca="1" ref="T182" ca="1">Table1[[#This Row],[Nominal TRY]]/_xlfn.XLOOKUP(Table1[[#This Row],[Year]],Table3[[#All],[Year]],Table3[[#All],[Rate]])</f>
        <v>#NAME?</v>
      </c>
    </row>
    <row r="183" spans="1:20">
      <c r="A183" s="21">
        <v>2021</v>
      </c>
      <c r="B183" s="21">
        <v>2020</v>
      </c>
      <c r="C183" s="21" t="s">
        <v>17</v>
      </c>
      <c r="D183" s="21" t="s">
        <v>18</v>
      </c>
      <c r="E183" s="21" t="s">
        <v>67</v>
      </c>
      <c r="F183" s="3" t="s">
        <v>68</v>
      </c>
      <c r="G183" s="21" t="s">
        <v>61</v>
      </c>
      <c r="H183" s="21" t="s">
        <v>31</v>
      </c>
      <c r="I183" s="22">
        <v>703716490</v>
      </c>
      <c r="J183" s="21">
        <v>703716490</v>
      </c>
      <c r="K183" s="21" t="s">
        <v>26</v>
      </c>
      <c r="L183" s="21"/>
      <c r="M183" s="21" t="b">
        <v>1</v>
      </c>
      <c r="N183" s="21">
        <v>4</v>
      </c>
      <c r="O183" s="27">
        <v>703716490</v>
      </c>
      <c r="P183" s="21" t="s">
        <v>41</v>
      </c>
      <c r="Q183" s="21" t="s">
        <v>25</v>
      </c>
      <c r="R183" s="23">
        <v>703716490</v>
      </c>
      <c r="S183" s="23" t="e" cm="1">
        <f t="array" aca="1" ref="S183" ca="1">Table1[[#This Row],[Nominal TRY]]*_xlfn.XLOOKUP(Table1[[#This Row],[Year]],Table2[[#All],[Year]],Table2[[#All],[Deflator to 2023]])</f>
        <v>#NAME?</v>
      </c>
      <c r="T183" s="24" t="e" cm="1">
        <f t="array" aca="1" ref="T183" ca="1">Table1[[#This Row],[Nominal TRY]]/_xlfn.XLOOKUP(Table1[[#This Row],[Year]],Table3[[#All],[Year]],Table3[[#All],[Rate]])</f>
        <v>#NAME?</v>
      </c>
    </row>
    <row r="184" spans="1:20">
      <c r="A184" s="21">
        <v>2021</v>
      </c>
      <c r="B184" s="21">
        <v>2020</v>
      </c>
      <c r="C184" s="21" t="s">
        <v>17</v>
      </c>
      <c r="D184" s="21" t="s">
        <v>18</v>
      </c>
      <c r="E184" s="21" t="s">
        <v>28</v>
      </c>
      <c r="F184" s="3" t="s">
        <v>29</v>
      </c>
      <c r="G184" s="21" t="s">
        <v>30</v>
      </c>
      <c r="H184" s="21" t="s">
        <v>31</v>
      </c>
      <c r="I184" s="22">
        <v>5800</v>
      </c>
      <c r="J184" s="21">
        <v>5800</v>
      </c>
      <c r="K184" s="21" t="s">
        <v>32</v>
      </c>
      <c r="L184" s="21">
        <v>-97.857778664214194</v>
      </c>
      <c r="M184" s="21" t="b">
        <v>1</v>
      </c>
      <c r="N184" s="21">
        <v>4</v>
      </c>
      <c r="O184" s="28">
        <v>64491.166666666599</v>
      </c>
      <c r="P184" s="21" t="s">
        <v>24</v>
      </c>
      <c r="Q184" s="21" t="s">
        <v>25</v>
      </c>
      <c r="R184" s="23">
        <v>5800</v>
      </c>
      <c r="S184" s="23" t="e" cm="1">
        <f t="array" aca="1" ref="S184" ca="1">Table1[[#This Row],[Nominal TRY]]*_xlfn.XLOOKUP(Table1[[#This Row],[Year]],Table2[[#All],[Year]],Table2[[#All],[Deflator to 2023]])</f>
        <v>#NAME?</v>
      </c>
      <c r="T184" s="24" t="e" cm="1">
        <f t="array" aca="1" ref="T184" ca="1">Table1[[#This Row],[Nominal TRY]]/_xlfn.XLOOKUP(Table1[[#This Row],[Year]],Table3[[#All],[Year]],Table3[[#All],[Rate]])</f>
        <v>#NAME?</v>
      </c>
    </row>
    <row r="185" spans="1:20">
      <c r="A185" s="21">
        <v>2021</v>
      </c>
      <c r="B185" s="21">
        <v>2020</v>
      </c>
      <c r="C185" s="21" t="s">
        <v>17</v>
      </c>
      <c r="D185" s="21" t="s">
        <v>18</v>
      </c>
      <c r="E185" s="21" t="s">
        <v>82</v>
      </c>
      <c r="F185" s="3" t="s">
        <v>83</v>
      </c>
      <c r="G185" s="21" t="s">
        <v>21</v>
      </c>
      <c r="H185" s="21" t="s">
        <v>22</v>
      </c>
      <c r="I185" s="22">
        <v>1570406</v>
      </c>
      <c r="J185" s="21">
        <v>1570406</v>
      </c>
      <c r="K185" s="21" t="s">
        <v>23</v>
      </c>
      <c r="L185" s="21">
        <v>-36.065155968830602</v>
      </c>
      <c r="M185" s="21" t="b">
        <v>1</v>
      </c>
      <c r="N185" s="21">
        <v>4</v>
      </c>
      <c r="O185" s="27">
        <v>2167758.375</v>
      </c>
      <c r="P185" s="21" t="s">
        <v>24</v>
      </c>
      <c r="Q185" s="21" t="s">
        <v>25</v>
      </c>
      <c r="R185" s="23">
        <v>1570406</v>
      </c>
      <c r="S185" s="23" t="e" cm="1">
        <f t="array" aca="1" ref="S185" ca="1">Table1[[#This Row],[Nominal TRY]]*_xlfn.XLOOKUP(Table1[[#This Row],[Year]],Table2[[#All],[Year]],Table2[[#All],[Deflator to 2023]])</f>
        <v>#NAME?</v>
      </c>
      <c r="T185" s="24" t="e" cm="1">
        <f t="array" aca="1" ref="T185" ca="1">Table1[[#This Row],[Nominal TRY]]/_xlfn.XLOOKUP(Table1[[#This Row],[Year]],Table3[[#All],[Year]],Table3[[#All],[Rate]])</f>
        <v>#NAME?</v>
      </c>
    </row>
    <row r="186" spans="1:20">
      <c r="A186" s="21">
        <v>2020</v>
      </c>
      <c r="B186" s="21">
        <v>2020</v>
      </c>
      <c r="C186" s="21" t="s">
        <v>17</v>
      </c>
      <c r="D186" s="21" t="s">
        <v>18</v>
      </c>
      <c r="E186" s="21" t="s">
        <v>56</v>
      </c>
      <c r="F186" s="3" t="s">
        <v>57</v>
      </c>
      <c r="G186" s="21" t="s">
        <v>21</v>
      </c>
      <c r="H186" s="21" t="s">
        <v>22</v>
      </c>
      <c r="I186" s="22">
        <v>2129252</v>
      </c>
      <c r="J186" s="21">
        <v>2129252</v>
      </c>
      <c r="K186" s="21" t="s">
        <v>23</v>
      </c>
      <c r="L186" s="21">
        <v>-56.647737672688599</v>
      </c>
      <c r="M186" s="21" t="b">
        <v>1</v>
      </c>
      <c r="N186" s="21">
        <v>4</v>
      </c>
      <c r="O186" s="27">
        <v>190634414.125</v>
      </c>
      <c r="P186" s="21" t="s">
        <v>24</v>
      </c>
      <c r="Q186" s="21" t="s">
        <v>25</v>
      </c>
      <c r="R186" s="23">
        <v>2129252</v>
      </c>
      <c r="S186" s="23" t="e" cm="1">
        <f t="array" aca="1" ref="S186" ca="1">Table1[[#This Row],[Nominal TRY]]*_xlfn.XLOOKUP(Table1[[#This Row],[Year]],Table2[[#All],[Year]],Table2[[#All],[Deflator to 2023]])</f>
        <v>#NAME?</v>
      </c>
      <c r="T186" s="24" t="e" cm="1">
        <f t="array" aca="1" ref="T186" ca="1">Table1[[#This Row],[Nominal TRY]]/_xlfn.XLOOKUP(Table1[[#This Row],[Year]],Table3[[#All],[Year]],Table3[[#All],[Rate]])</f>
        <v>#NAME?</v>
      </c>
    </row>
    <row r="187" spans="1:20">
      <c r="A187" s="21">
        <v>2021</v>
      </c>
      <c r="B187" s="21">
        <v>2020</v>
      </c>
      <c r="C187" s="21" t="s">
        <v>17</v>
      </c>
      <c r="D187" s="21" t="s">
        <v>18</v>
      </c>
      <c r="E187" s="21" t="s">
        <v>85</v>
      </c>
      <c r="F187" s="3" t="s">
        <v>86</v>
      </c>
      <c r="G187" s="21" t="s">
        <v>40</v>
      </c>
      <c r="H187" s="21" t="s">
        <v>22</v>
      </c>
      <c r="I187" s="22">
        <v>703716490</v>
      </c>
      <c r="J187" s="21">
        <v>703716490</v>
      </c>
      <c r="K187" s="21" t="s">
        <v>26</v>
      </c>
      <c r="L187" s="21"/>
      <c r="M187" s="21" t="b">
        <v>1</v>
      </c>
      <c r="N187" s="21">
        <v>4</v>
      </c>
      <c r="O187" s="27">
        <v>703716490</v>
      </c>
      <c r="P187" s="21" t="s">
        <v>41</v>
      </c>
      <c r="Q187" s="21" t="s">
        <v>25</v>
      </c>
      <c r="R187" s="23">
        <v>703716490</v>
      </c>
      <c r="S187" s="23" t="e" cm="1">
        <f t="array" aca="1" ref="S187" ca="1">Table1[[#This Row],[Nominal TRY]]*_xlfn.XLOOKUP(Table1[[#This Row],[Year]],Table2[[#All],[Year]],Table2[[#All],[Deflator to 2023]])</f>
        <v>#NAME?</v>
      </c>
      <c r="T187" s="24" t="e" cm="1">
        <f t="array" aca="1" ref="T187" ca="1">Table1[[#This Row],[Nominal TRY]]/_xlfn.XLOOKUP(Table1[[#This Row],[Year]],Table3[[#All],[Year]],Table3[[#All],[Rate]])</f>
        <v>#NAME?</v>
      </c>
    </row>
    <row r="188" spans="1:20" ht="29">
      <c r="A188" s="21">
        <v>2020</v>
      </c>
      <c r="B188" s="21">
        <v>2020</v>
      </c>
      <c r="C188" s="21" t="s">
        <v>17</v>
      </c>
      <c r="D188" s="21" t="s">
        <v>18</v>
      </c>
      <c r="E188" s="21" t="s">
        <v>87</v>
      </c>
      <c r="F188" s="3" t="s">
        <v>88</v>
      </c>
      <c r="G188" s="21" t="s">
        <v>21</v>
      </c>
      <c r="H188" s="21" t="s">
        <v>31</v>
      </c>
      <c r="I188" s="22">
        <v>537035</v>
      </c>
      <c r="J188" s="21">
        <v>537035</v>
      </c>
      <c r="K188" s="21" t="s">
        <v>32</v>
      </c>
      <c r="L188" s="21">
        <v>-15.374251497005901</v>
      </c>
      <c r="M188" s="21" t="b">
        <v>1</v>
      </c>
      <c r="N188" s="21">
        <v>4</v>
      </c>
      <c r="O188" s="27">
        <v>588445.5</v>
      </c>
      <c r="P188" s="21" t="s">
        <v>36</v>
      </c>
      <c r="Q188" s="21" t="s">
        <v>25</v>
      </c>
      <c r="R188" s="23">
        <v>537035</v>
      </c>
      <c r="S188" s="23" t="e" cm="1">
        <f t="array" aca="1" ref="S188" ca="1">Table1[[#This Row],[Nominal TRY]]*_xlfn.XLOOKUP(Table1[[#This Row],[Year]],Table2[[#All],[Year]],Table2[[#All],[Deflator to 2023]])</f>
        <v>#NAME?</v>
      </c>
      <c r="T188" s="24" t="e" cm="1">
        <f t="array" aca="1" ref="T188" ca="1">Table1[[#This Row],[Nominal TRY]]/_xlfn.XLOOKUP(Table1[[#This Row],[Year]],Table3[[#All],[Year]],Table3[[#All],[Rate]])</f>
        <v>#NAME?</v>
      </c>
    </row>
    <row r="189" spans="1:20">
      <c r="A189" s="21">
        <v>2021</v>
      </c>
      <c r="B189" s="21">
        <v>2020</v>
      </c>
      <c r="C189" s="21" t="s">
        <v>17</v>
      </c>
      <c r="D189" s="21" t="s">
        <v>18</v>
      </c>
      <c r="E189" s="21" t="s">
        <v>91</v>
      </c>
      <c r="F189" s="3" t="s">
        <v>92</v>
      </c>
      <c r="G189" s="21" t="s">
        <v>40</v>
      </c>
      <c r="H189" s="21" t="s">
        <v>22</v>
      </c>
      <c r="I189" s="22">
        <v>6450000</v>
      </c>
      <c r="J189" s="21">
        <v>6450000</v>
      </c>
      <c r="K189" s="21" t="s">
        <v>23</v>
      </c>
      <c r="L189" s="21">
        <v>-89.943559200473899</v>
      </c>
      <c r="M189" s="21" t="b">
        <v>1</v>
      </c>
      <c r="N189" s="21">
        <v>4</v>
      </c>
      <c r="O189" s="27">
        <v>74889250</v>
      </c>
      <c r="P189" s="21" t="s">
        <v>36</v>
      </c>
      <c r="Q189" s="21" t="s">
        <v>25</v>
      </c>
      <c r="R189" s="23">
        <v>6450000</v>
      </c>
      <c r="S189" s="23" t="e" cm="1">
        <f t="array" aca="1" ref="S189" ca="1">Table1[[#This Row],[Nominal TRY]]*_xlfn.XLOOKUP(Table1[[#This Row],[Year]],Table2[[#All],[Year]],Table2[[#All],[Deflator to 2023]])</f>
        <v>#NAME?</v>
      </c>
      <c r="T189" s="24" t="e" cm="1">
        <f t="array" aca="1" ref="T189" ca="1">Table1[[#This Row],[Nominal TRY]]/_xlfn.XLOOKUP(Table1[[#This Row],[Year]],Table3[[#All],[Year]],Table3[[#All],[Rate]])</f>
        <v>#NAME?</v>
      </c>
    </row>
    <row r="190" spans="1:20">
      <c r="A190" s="21">
        <v>2020</v>
      </c>
      <c r="B190" s="21">
        <v>2020</v>
      </c>
      <c r="C190" s="21" t="s">
        <v>17</v>
      </c>
      <c r="D190" s="21" t="s">
        <v>18</v>
      </c>
      <c r="E190" s="21" t="s">
        <v>71</v>
      </c>
      <c r="F190" s="3" t="s">
        <v>72</v>
      </c>
      <c r="G190" s="21" t="s">
        <v>21</v>
      </c>
      <c r="H190" s="21" t="s">
        <v>22</v>
      </c>
      <c r="I190" s="22">
        <v>30704000</v>
      </c>
      <c r="J190" s="21">
        <v>30704000</v>
      </c>
      <c r="K190" s="21" t="s">
        <v>23</v>
      </c>
      <c r="L190" s="21">
        <v>-79.309150710046396</v>
      </c>
      <c r="M190" s="21" t="b">
        <v>1</v>
      </c>
      <c r="N190" s="21">
        <v>4</v>
      </c>
      <c r="O190" s="27">
        <v>140908336.375</v>
      </c>
      <c r="P190" s="21" t="s">
        <v>24</v>
      </c>
      <c r="Q190" s="21" t="s">
        <v>25</v>
      </c>
      <c r="R190" s="23">
        <v>30704000</v>
      </c>
      <c r="S190" s="23" t="e" cm="1">
        <f t="array" aca="1" ref="S190" ca="1">Table1[[#This Row],[Nominal TRY]]*_xlfn.XLOOKUP(Table1[[#This Row],[Year]],Table2[[#All],[Year]],Table2[[#All],[Deflator to 2023]])</f>
        <v>#NAME?</v>
      </c>
      <c r="T190" s="24" t="e" cm="1">
        <f t="array" aca="1" ref="T190" ca="1">Table1[[#This Row],[Nominal TRY]]/_xlfn.XLOOKUP(Table1[[#This Row],[Year]],Table3[[#All],[Year]],Table3[[#All],[Rate]])</f>
        <v>#NAME?</v>
      </c>
    </row>
    <row r="191" spans="1:20">
      <c r="A191" s="21">
        <v>2021</v>
      </c>
      <c r="B191" s="21">
        <v>2020</v>
      </c>
      <c r="C191" s="21" t="s">
        <v>17</v>
      </c>
      <c r="D191" s="21" t="s">
        <v>18</v>
      </c>
      <c r="E191" s="21" t="s">
        <v>96</v>
      </c>
      <c r="F191" s="3" t="s">
        <v>97</v>
      </c>
      <c r="G191" s="21" t="s">
        <v>30</v>
      </c>
      <c r="H191" s="21" t="s">
        <v>22</v>
      </c>
      <c r="I191" s="22">
        <v>703716490</v>
      </c>
      <c r="J191" s="21">
        <v>703716490</v>
      </c>
      <c r="K191" s="21" t="s">
        <v>26</v>
      </c>
      <c r="L191" s="21"/>
      <c r="M191" s="21" t="b">
        <v>1</v>
      </c>
      <c r="N191" s="21">
        <v>4</v>
      </c>
      <c r="O191" s="27">
        <v>703716490</v>
      </c>
      <c r="P191" s="21" t="s">
        <v>41</v>
      </c>
      <c r="Q191" s="21" t="s">
        <v>25</v>
      </c>
      <c r="R191" s="23">
        <v>703716490</v>
      </c>
      <c r="S191" s="23" t="e" cm="1">
        <f t="array" aca="1" ref="S191" ca="1">Table1[[#This Row],[Nominal TRY]]*_xlfn.XLOOKUP(Table1[[#This Row],[Year]],Table2[[#All],[Year]],Table2[[#All],[Deflator to 2023]])</f>
        <v>#NAME?</v>
      </c>
      <c r="T191" s="24" t="e" cm="1">
        <f t="array" aca="1" ref="T191" ca="1">Table1[[#This Row],[Nominal TRY]]/_xlfn.XLOOKUP(Table1[[#This Row],[Year]],Table3[[#All],[Year]],Table3[[#All],[Rate]])</f>
        <v>#NAME?</v>
      </c>
    </row>
    <row r="192" spans="1:20">
      <c r="A192" s="21">
        <v>2020</v>
      </c>
      <c r="B192" s="21">
        <v>2020</v>
      </c>
      <c r="C192" s="21" t="s">
        <v>17</v>
      </c>
      <c r="D192" s="21" t="s">
        <v>18</v>
      </c>
      <c r="E192" s="21" t="s">
        <v>28</v>
      </c>
      <c r="F192" s="3" t="s">
        <v>29</v>
      </c>
      <c r="G192" s="21" t="s">
        <v>30</v>
      </c>
      <c r="H192" s="21" t="s">
        <v>31</v>
      </c>
      <c r="I192" s="22">
        <v>62875</v>
      </c>
      <c r="J192" s="21">
        <v>62875</v>
      </c>
      <c r="K192" s="21" t="s">
        <v>32</v>
      </c>
      <c r="L192" s="25">
        <v>984.05172413793002</v>
      </c>
      <c r="M192" s="21" t="b">
        <v>1</v>
      </c>
      <c r="N192" s="21">
        <v>4</v>
      </c>
      <c r="O192" s="28">
        <v>64491.166666666599</v>
      </c>
      <c r="P192" s="21" t="s">
        <v>24</v>
      </c>
      <c r="Q192" s="21" t="s">
        <v>25</v>
      </c>
      <c r="R192" s="23">
        <v>62875</v>
      </c>
      <c r="S192" s="23" t="e" cm="1">
        <f t="array" aca="1" ref="S192" ca="1">Table1[[#This Row],[Nominal TRY]]*_xlfn.XLOOKUP(Table1[[#This Row],[Year]],Table2[[#All],[Year]],Table2[[#All],[Deflator to 2023]])</f>
        <v>#NAME?</v>
      </c>
      <c r="T192" s="24" t="e" cm="1">
        <f t="array" aca="1" ref="T192" ca="1">Table1[[#This Row],[Nominal TRY]]/_xlfn.XLOOKUP(Table1[[#This Row],[Year]],Table3[[#All],[Year]],Table3[[#All],[Rate]])</f>
        <v>#NAME?</v>
      </c>
    </row>
    <row r="193" spans="1:20">
      <c r="A193" s="21">
        <v>2021</v>
      </c>
      <c r="B193" s="21">
        <v>2020</v>
      </c>
      <c r="C193" s="21" t="s">
        <v>17</v>
      </c>
      <c r="D193" s="21" t="s">
        <v>18</v>
      </c>
      <c r="E193" s="21" t="s">
        <v>105</v>
      </c>
      <c r="F193" s="3" t="s">
        <v>106</v>
      </c>
      <c r="G193" s="21" t="s">
        <v>107</v>
      </c>
      <c r="H193" s="21" t="s">
        <v>31</v>
      </c>
      <c r="I193" s="22">
        <v>1617969430</v>
      </c>
      <c r="J193" s="21">
        <v>1617969430</v>
      </c>
      <c r="K193" s="21" t="s">
        <v>26</v>
      </c>
      <c r="L193" s="25">
        <v>98.140417536871198</v>
      </c>
      <c r="M193" s="21" t="b">
        <v>1</v>
      </c>
      <c r="N193" s="21">
        <v>4</v>
      </c>
      <c r="O193" s="27">
        <v>1391639889.75</v>
      </c>
      <c r="P193" s="21" t="s">
        <v>24</v>
      </c>
      <c r="Q193" s="21" t="s">
        <v>25</v>
      </c>
      <c r="R193" s="23">
        <v>1617969430</v>
      </c>
      <c r="S193" s="23" t="e" cm="1">
        <f t="array" aca="1" ref="S193" ca="1">Table1[[#This Row],[Nominal TRY]]*_xlfn.XLOOKUP(Table1[[#This Row],[Year]],Table2[[#All],[Year]],Table2[[#All],[Deflator to 2023]])</f>
        <v>#NAME?</v>
      </c>
      <c r="T193" s="24" t="e" cm="1">
        <f t="array" aca="1" ref="T193" ca="1">Table1[[#This Row],[Nominal TRY]]/_xlfn.XLOOKUP(Table1[[#This Row],[Year]],Table3[[#All],[Year]],Table3[[#All],[Rate]])</f>
        <v>#NAME?</v>
      </c>
    </row>
    <row r="194" spans="1:20" ht="29">
      <c r="A194" s="21">
        <v>2021</v>
      </c>
      <c r="B194" s="21">
        <v>2020</v>
      </c>
      <c r="C194" s="21" t="s">
        <v>17</v>
      </c>
      <c r="D194" s="21" t="s">
        <v>18</v>
      </c>
      <c r="E194" s="21" t="s">
        <v>19</v>
      </c>
      <c r="F194" s="3" t="s">
        <v>20</v>
      </c>
      <c r="G194" s="21" t="s">
        <v>21</v>
      </c>
      <c r="H194" s="21" t="s">
        <v>22</v>
      </c>
      <c r="I194" s="22">
        <v>29299108</v>
      </c>
      <c r="J194" s="21">
        <v>29299108</v>
      </c>
      <c r="K194" s="21" t="s">
        <v>23</v>
      </c>
      <c r="L194" s="25">
        <v>241.01880432606501</v>
      </c>
      <c r="M194" s="21" t="b">
        <v>1</v>
      </c>
      <c r="N194" s="21">
        <v>4</v>
      </c>
      <c r="O194" s="27">
        <v>99912404.875</v>
      </c>
      <c r="P194" s="21" t="s">
        <v>24</v>
      </c>
      <c r="Q194" s="21" t="s">
        <v>25</v>
      </c>
      <c r="R194" s="23">
        <v>29299108</v>
      </c>
      <c r="S194" s="23" t="e" cm="1">
        <f t="array" aca="1" ref="S194" ca="1">Table1[[#This Row],[Nominal TRY]]*_xlfn.XLOOKUP(Table1[[#This Row],[Year]],Table2[[#All],[Year]],Table2[[#All],[Deflator to 2023]])</f>
        <v>#NAME?</v>
      </c>
      <c r="T194" s="24" t="e" cm="1">
        <f t="array" aca="1" ref="T194" ca="1">Table1[[#This Row],[Nominal TRY]]/_xlfn.XLOOKUP(Table1[[#This Row],[Year]],Table3[[#All],[Year]],Table3[[#All],[Rate]])</f>
        <v>#NAME?</v>
      </c>
    </row>
    <row r="195" spans="1:20">
      <c r="A195" s="21">
        <v>2021</v>
      </c>
      <c r="B195" s="21">
        <v>2020</v>
      </c>
      <c r="C195" s="21" t="s">
        <v>17</v>
      </c>
      <c r="D195" s="21" t="s">
        <v>18</v>
      </c>
      <c r="E195" s="21" t="s">
        <v>96</v>
      </c>
      <c r="F195" s="3" t="s">
        <v>97</v>
      </c>
      <c r="G195" s="21" t="s">
        <v>30</v>
      </c>
      <c r="H195" s="21" t="s">
        <v>22</v>
      </c>
      <c r="I195" s="22">
        <v>703716490</v>
      </c>
      <c r="J195" s="21">
        <v>703716490</v>
      </c>
      <c r="K195" s="21" t="s">
        <v>26</v>
      </c>
      <c r="L195" s="21"/>
      <c r="M195" s="21" t="b">
        <v>1</v>
      </c>
      <c r="N195" s="21">
        <v>4</v>
      </c>
      <c r="O195" s="27">
        <v>703716490</v>
      </c>
      <c r="P195" s="21" t="s">
        <v>41</v>
      </c>
      <c r="Q195" s="21" t="s">
        <v>25</v>
      </c>
      <c r="R195" s="23">
        <v>703716490</v>
      </c>
      <c r="S195" s="23" t="e" cm="1">
        <f t="array" aca="1" ref="S195" ca="1">Table1[[#This Row],[Nominal TRY]]*_xlfn.XLOOKUP(Table1[[#This Row],[Year]],Table2[[#All],[Year]],Table2[[#All],[Deflator to 2023]])</f>
        <v>#NAME?</v>
      </c>
      <c r="T195" s="24" t="e" cm="1">
        <f t="array" aca="1" ref="T195" ca="1">Table1[[#This Row],[Nominal TRY]]/_xlfn.XLOOKUP(Table1[[#This Row],[Year]],Table3[[#All],[Year]],Table3[[#All],[Rate]])</f>
        <v>#NAME?</v>
      </c>
    </row>
    <row r="196" spans="1:20">
      <c r="A196" s="21">
        <v>2021</v>
      </c>
      <c r="B196" s="21">
        <v>2020</v>
      </c>
      <c r="C196" s="21" t="s">
        <v>17</v>
      </c>
      <c r="D196" s="21" t="s">
        <v>18</v>
      </c>
      <c r="E196" s="21" t="s">
        <v>98</v>
      </c>
      <c r="F196" s="3" t="s">
        <v>99</v>
      </c>
      <c r="G196" s="21" t="s">
        <v>21</v>
      </c>
      <c r="H196" s="21" t="s">
        <v>22</v>
      </c>
      <c r="I196" s="22">
        <v>356945</v>
      </c>
      <c r="J196" s="21">
        <v>356945</v>
      </c>
      <c r="K196" s="21" t="s">
        <v>32</v>
      </c>
      <c r="L196" s="21">
        <v>-96.750048802303994</v>
      </c>
      <c r="M196" s="21" t="b">
        <v>1</v>
      </c>
      <c r="N196" s="21">
        <v>4</v>
      </c>
      <c r="O196" s="27">
        <v>16440389.375</v>
      </c>
      <c r="P196" s="21" t="s">
        <v>24</v>
      </c>
      <c r="Q196" s="21" t="s">
        <v>25</v>
      </c>
      <c r="R196" s="23">
        <v>356945</v>
      </c>
      <c r="S196" s="23" t="e" cm="1">
        <f t="array" aca="1" ref="S196" ca="1">Table1[[#This Row],[Nominal TRY]]*_xlfn.XLOOKUP(Table1[[#This Row],[Year]],Table2[[#All],[Year]],Table2[[#All],[Deflator to 2023]])</f>
        <v>#NAME?</v>
      </c>
      <c r="T196" s="24" t="e" cm="1">
        <f t="array" aca="1" ref="T196" ca="1">Table1[[#This Row],[Nominal TRY]]/_xlfn.XLOOKUP(Table1[[#This Row],[Year]],Table3[[#All],[Year]],Table3[[#All],[Rate]])</f>
        <v>#NAME?</v>
      </c>
    </row>
    <row r="197" spans="1:20">
      <c r="A197" s="21">
        <v>2021</v>
      </c>
      <c r="B197" s="21">
        <v>2020</v>
      </c>
      <c r="C197" s="21" t="s">
        <v>17</v>
      </c>
      <c r="D197" s="21" t="s">
        <v>18</v>
      </c>
      <c r="E197" s="21" t="s">
        <v>101</v>
      </c>
      <c r="F197" s="3" t="s">
        <v>102</v>
      </c>
      <c r="G197" s="21" t="s">
        <v>40</v>
      </c>
      <c r="H197" s="21" t="s">
        <v>22</v>
      </c>
      <c r="I197" s="22">
        <v>3785303000</v>
      </c>
      <c r="J197" s="21">
        <v>3785303000</v>
      </c>
      <c r="K197" s="21" t="s">
        <v>26</v>
      </c>
      <c r="L197" s="25">
        <v>68.779233032245102</v>
      </c>
      <c r="M197" s="21" t="b">
        <v>1</v>
      </c>
      <c r="N197" s="21">
        <v>4</v>
      </c>
      <c r="O197" s="27">
        <v>4078783500</v>
      </c>
      <c r="P197" s="21" t="s">
        <v>24</v>
      </c>
      <c r="Q197" s="21" t="s">
        <v>25</v>
      </c>
      <c r="R197" s="23">
        <v>3785303000</v>
      </c>
      <c r="S197" s="23" t="e" cm="1">
        <f t="array" aca="1" ref="S197" ca="1">Table1[[#This Row],[Nominal TRY]]*_xlfn.XLOOKUP(Table1[[#This Row],[Year]],Table2[[#All],[Year]],Table2[[#All],[Deflator to 2023]])</f>
        <v>#NAME?</v>
      </c>
      <c r="T197" s="24" t="e" cm="1">
        <f t="array" aca="1" ref="T197" ca="1">Table1[[#This Row],[Nominal TRY]]/_xlfn.XLOOKUP(Table1[[#This Row],[Year]],Table3[[#All],[Year]],Table3[[#All],[Rate]])</f>
        <v>#NAME?</v>
      </c>
    </row>
    <row r="198" spans="1:20">
      <c r="A198" s="21">
        <v>2021</v>
      </c>
      <c r="B198" s="21">
        <v>2020</v>
      </c>
      <c r="C198" s="21" t="s">
        <v>17</v>
      </c>
      <c r="D198" s="21" t="s">
        <v>18</v>
      </c>
      <c r="E198" s="21" t="s">
        <v>96</v>
      </c>
      <c r="F198" s="3" t="s">
        <v>97</v>
      </c>
      <c r="G198" s="21" t="s">
        <v>30</v>
      </c>
      <c r="H198" s="21" t="s">
        <v>22</v>
      </c>
      <c r="I198" s="22">
        <v>703716490</v>
      </c>
      <c r="J198" s="21">
        <v>703716490</v>
      </c>
      <c r="K198" s="21" t="s">
        <v>26</v>
      </c>
      <c r="L198" s="21"/>
      <c r="M198" s="21" t="b">
        <v>1</v>
      </c>
      <c r="N198" s="21">
        <v>4</v>
      </c>
      <c r="O198" s="27">
        <v>703716490</v>
      </c>
      <c r="P198" s="21" t="s">
        <v>41</v>
      </c>
      <c r="Q198" s="21" t="s">
        <v>25</v>
      </c>
      <c r="R198" s="23">
        <v>703716490</v>
      </c>
      <c r="S198" s="23" t="e" cm="1">
        <f t="array" aca="1" ref="S198" ca="1">Table1[[#This Row],[Nominal TRY]]*_xlfn.XLOOKUP(Table1[[#This Row],[Year]],Table2[[#All],[Year]],Table2[[#All],[Deflator to 2023]])</f>
        <v>#NAME?</v>
      </c>
      <c r="T198" s="24" t="e" cm="1">
        <f t="array" aca="1" ref="T198" ca="1">Table1[[#This Row],[Nominal TRY]]/_xlfn.XLOOKUP(Table1[[#This Row],[Year]],Table3[[#All],[Year]],Table3[[#All],[Rate]])</f>
        <v>#NAME?</v>
      </c>
    </row>
    <row r="199" spans="1:20">
      <c r="A199" s="21">
        <v>2021</v>
      </c>
      <c r="B199" s="21">
        <v>2020</v>
      </c>
      <c r="C199" s="21" t="s">
        <v>17</v>
      </c>
      <c r="D199" s="21" t="s">
        <v>18</v>
      </c>
      <c r="E199" s="21" t="s">
        <v>56</v>
      </c>
      <c r="F199" s="3" t="s">
        <v>57</v>
      </c>
      <c r="G199" s="21" t="s">
        <v>21</v>
      </c>
      <c r="H199" s="21" t="s">
        <v>22</v>
      </c>
      <c r="I199" s="22">
        <v>20417350</v>
      </c>
      <c r="J199" s="21">
        <v>20417350</v>
      </c>
      <c r="K199" s="21" t="s">
        <v>23</v>
      </c>
      <c r="L199" s="25">
        <v>858.89777255111096</v>
      </c>
      <c r="M199" s="21" t="b">
        <v>1</v>
      </c>
      <c r="N199" s="21">
        <v>4</v>
      </c>
      <c r="O199" s="27">
        <v>190634414.125</v>
      </c>
      <c r="P199" s="21" t="s">
        <v>24</v>
      </c>
      <c r="Q199" s="21" t="s">
        <v>25</v>
      </c>
      <c r="R199" s="23">
        <v>20417350</v>
      </c>
      <c r="S199" s="23" t="e" cm="1">
        <f t="array" aca="1" ref="S199" ca="1">Table1[[#This Row],[Nominal TRY]]*_xlfn.XLOOKUP(Table1[[#This Row],[Year]],Table2[[#All],[Year]],Table2[[#All],[Deflator to 2023]])</f>
        <v>#NAME?</v>
      </c>
      <c r="T199" s="24" t="e" cm="1">
        <f t="array" aca="1" ref="T199" ca="1">Table1[[#This Row],[Nominal TRY]]/_xlfn.XLOOKUP(Table1[[#This Row],[Year]],Table3[[#All],[Year]],Table3[[#All],[Rate]])</f>
        <v>#NAME?</v>
      </c>
    </row>
    <row r="200" spans="1:20">
      <c r="A200" s="21">
        <v>2021</v>
      </c>
      <c r="B200" s="21">
        <v>2020</v>
      </c>
      <c r="C200" s="21" t="s">
        <v>17</v>
      </c>
      <c r="D200" s="21" t="s">
        <v>18</v>
      </c>
      <c r="E200" s="21" t="s">
        <v>105</v>
      </c>
      <c r="F200" s="3" t="s">
        <v>106</v>
      </c>
      <c r="G200" s="21" t="s">
        <v>107</v>
      </c>
      <c r="H200" s="21" t="s">
        <v>31</v>
      </c>
      <c r="I200" s="22">
        <v>1075093066</v>
      </c>
      <c r="J200" s="21">
        <v>1075093066</v>
      </c>
      <c r="K200" s="21" t="s">
        <v>26</v>
      </c>
      <c r="L200" s="21">
        <v>-33.552943209810799</v>
      </c>
      <c r="M200" s="21" t="b">
        <v>1</v>
      </c>
      <c r="N200" s="21">
        <v>4</v>
      </c>
      <c r="O200" s="27">
        <v>1391639889.75</v>
      </c>
      <c r="P200" s="21" t="s">
        <v>24</v>
      </c>
      <c r="Q200" s="21" t="s">
        <v>25</v>
      </c>
      <c r="R200" s="23">
        <v>1075093066</v>
      </c>
      <c r="S200" s="23" t="e" cm="1">
        <f t="array" aca="1" ref="S200" ca="1">Table1[[#This Row],[Nominal TRY]]*_xlfn.XLOOKUP(Table1[[#This Row],[Year]],Table2[[#All],[Year]],Table2[[#All],[Deflator to 2023]])</f>
        <v>#NAME?</v>
      </c>
      <c r="T200" s="24" t="e" cm="1">
        <f t="array" aca="1" ref="T200" ca="1">Table1[[#This Row],[Nominal TRY]]/_xlfn.XLOOKUP(Table1[[#This Row],[Year]],Table3[[#All],[Year]],Table3[[#All],[Rate]])</f>
        <v>#NAME?</v>
      </c>
    </row>
    <row r="201" spans="1:20">
      <c r="A201" s="21">
        <v>2021</v>
      </c>
      <c r="B201" s="21">
        <v>2020</v>
      </c>
      <c r="C201" s="21" t="s">
        <v>17</v>
      </c>
      <c r="D201" s="21" t="s">
        <v>18</v>
      </c>
      <c r="E201" s="21" t="s">
        <v>56</v>
      </c>
      <c r="F201" s="3" t="s">
        <v>57</v>
      </c>
      <c r="G201" s="21" t="s">
        <v>21</v>
      </c>
      <c r="H201" s="21" t="s">
        <v>22</v>
      </c>
      <c r="I201" s="22">
        <v>2251683</v>
      </c>
      <c r="J201" s="21">
        <v>2251683</v>
      </c>
      <c r="K201" s="21" t="s">
        <v>23</v>
      </c>
      <c r="L201" s="21">
        <v>-88.971717681285696</v>
      </c>
      <c r="M201" s="21" t="b">
        <v>1</v>
      </c>
      <c r="N201" s="21">
        <v>4</v>
      </c>
      <c r="O201" s="27">
        <v>190634414.125</v>
      </c>
      <c r="P201" s="21" t="s">
        <v>24</v>
      </c>
      <c r="Q201" s="21" t="s">
        <v>25</v>
      </c>
      <c r="R201" s="23">
        <v>2251683</v>
      </c>
      <c r="S201" s="23" t="e" cm="1">
        <f t="array" aca="1" ref="S201" ca="1">Table1[[#This Row],[Nominal TRY]]*_xlfn.XLOOKUP(Table1[[#This Row],[Year]],Table2[[#All],[Year]],Table2[[#All],[Deflator to 2023]])</f>
        <v>#NAME?</v>
      </c>
      <c r="T201" s="24" t="e" cm="1">
        <f t="array" aca="1" ref="T201" ca="1">Table1[[#This Row],[Nominal TRY]]/_xlfn.XLOOKUP(Table1[[#This Row],[Year]],Table3[[#All],[Year]],Table3[[#All],[Rate]])</f>
        <v>#NAME?</v>
      </c>
    </row>
    <row r="202" spans="1:20">
      <c r="A202" s="21">
        <v>2021</v>
      </c>
      <c r="B202" s="21">
        <v>2020</v>
      </c>
      <c r="C202" s="21" t="s">
        <v>17</v>
      </c>
      <c r="D202" s="21" t="s">
        <v>18</v>
      </c>
      <c r="E202" s="21" t="s">
        <v>51</v>
      </c>
      <c r="F202" s="3" t="s">
        <v>52</v>
      </c>
      <c r="G202" s="21" t="s">
        <v>30</v>
      </c>
      <c r="H202" s="21" t="s">
        <v>22</v>
      </c>
      <c r="I202" s="22">
        <v>703716490</v>
      </c>
      <c r="J202" s="21">
        <v>703716490</v>
      </c>
      <c r="K202" s="21" t="s">
        <v>26</v>
      </c>
      <c r="L202" s="21"/>
      <c r="M202" s="21" t="b">
        <v>1</v>
      </c>
      <c r="N202" s="21">
        <v>4</v>
      </c>
      <c r="O202" s="27">
        <v>703716490</v>
      </c>
      <c r="P202" s="21" t="s">
        <v>41</v>
      </c>
      <c r="Q202" s="21" t="s">
        <v>25</v>
      </c>
      <c r="R202" s="23">
        <v>703716490</v>
      </c>
      <c r="S202" s="23" t="e" cm="1">
        <f t="array" aca="1" ref="S202" ca="1">Table1[[#This Row],[Nominal TRY]]*_xlfn.XLOOKUP(Table1[[#This Row],[Year]],Table2[[#All],[Year]],Table2[[#All],[Deflator to 2023]])</f>
        <v>#NAME?</v>
      </c>
      <c r="T202" s="24" t="e" cm="1">
        <f t="array" aca="1" ref="T202" ca="1">Table1[[#This Row],[Nominal TRY]]/_xlfn.XLOOKUP(Table1[[#This Row],[Year]],Table3[[#All],[Year]],Table3[[#All],[Rate]])</f>
        <v>#NAME?</v>
      </c>
    </row>
    <row r="203" spans="1:20">
      <c r="A203" s="21">
        <v>2021</v>
      </c>
      <c r="B203" s="21">
        <v>2020</v>
      </c>
      <c r="C203" s="21" t="s">
        <v>17</v>
      </c>
      <c r="D203" s="21" t="s">
        <v>18</v>
      </c>
      <c r="E203" s="21" t="s">
        <v>78</v>
      </c>
      <c r="F203" s="3" t="s">
        <v>79</v>
      </c>
      <c r="G203" s="21" t="s">
        <v>61</v>
      </c>
      <c r="H203" s="21" t="s">
        <v>31</v>
      </c>
      <c r="I203" s="22">
        <v>693732501</v>
      </c>
      <c r="J203" s="21">
        <v>693732501</v>
      </c>
      <c r="K203" s="21" t="s">
        <v>26</v>
      </c>
      <c r="L203" s="21">
        <v>-13.957526272555301</v>
      </c>
      <c r="M203" s="21" t="b">
        <v>1</v>
      </c>
      <c r="N203" s="21">
        <v>4</v>
      </c>
      <c r="O203" s="27">
        <v>738429122.5</v>
      </c>
      <c r="P203" s="21" t="s">
        <v>36</v>
      </c>
      <c r="Q203" s="21" t="s">
        <v>25</v>
      </c>
      <c r="R203" s="23">
        <v>693732501</v>
      </c>
      <c r="S203" s="23" t="e" cm="1">
        <f t="array" aca="1" ref="S203" ca="1">Table1[[#This Row],[Nominal TRY]]*_xlfn.XLOOKUP(Table1[[#This Row],[Year]],Table2[[#All],[Year]],Table2[[#All],[Deflator to 2023]])</f>
        <v>#NAME?</v>
      </c>
      <c r="T203" s="24" t="e" cm="1">
        <f t="array" aca="1" ref="T203" ca="1">Table1[[#This Row],[Nominal TRY]]/_xlfn.XLOOKUP(Table1[[#This Row],[Year]],Table3[[#All],[Year]],Table3[[#All],[Rate]])</f>
        <v>#NAME?</v>
      </c>
    </row>
    <row r="204" spans="1:20">
      <c r="A204" s="21">
        <v>2021</v>
      </c>
      <c r="B204" s="21">
        <v>2020</v>
      </c>
      <c r="C204" s="21" t="s">
        <v>17</v>
      </c>
      <c r="D204" s="21" t="s">
        <v>18</v>
      </c>
      <c r="E204" s="21" t="s">
        <v>28</v>
      </c>
      <c r="F204" s="3" t="s">
        <v>29</v>
      </c>
      <c r="G204" s="21" t="s">
        <v>30</v>
      </c>
      <c r="H204" s="21" t="s">
        <v>31</v>
      </c>
      <c r="I204" s="22">
        <v>5643</v>
      </c>
      <c r="J204" s="21">
        <v>5643</v>
      </c>
      <c r="K204" s="21" t="s">
        <v>32</v>
      </c>
      <c r="L204" s="21">
        <v>-91.0250497017892</v>
      </c>
      <c r="M204" s="21" t="b">
        <v>1</v>
      </c>
      <c r="N204" s="21">
        <v>4</v>
      </c>
      <c r="O204" s="28">
        <v>64491.166666666599</v>
      </c>
      <c r="P204" s="21" t="s">
        <v>24</v>
      </c>
      <c r="Q204" s="21" t="s">
        <v>25</v>
      </c>
      <c r="R204" s="23">
        <v>5643</v>
      </c>
      <c r="S204" s="23" t="e" cm="1">
        <f t="array" aca="1" ref="S204" ca="1">Table1[[#This Row],[Nominal TRY]]*_xlfn.XLOOKUP(Table1[[#This Row],[Year]],Table2[[#All],[Year]],Table2[[#All],[Deflator to 2023]])</f>
        <v>#NAME?</v>
      </c>
      <c r="T204" s="24" t="e" cm="1">
        <f t="array" aca="1" ref="T204" ca="1">Table1[[#This Row],[Nominal TRY]]/_xlfn.XLOOKUP(Table1[[#This Row],[Year]],Table3[[#All],[Year]],Table3[[#All],[Rate]])</f>
        <v>#NAME?</v>
      </c>
    </row>
    <row r="205" spans="1:20" ht="29">
      <c r="A205" s="21">
        <v>2021</v>
      </c>
      <c r="B205" s="21">
        <v>2020</v>
      </c>
      <c r="C205" s="21" t="s">
        <v>17</v>
      </c>
      <c r="D205" s="21" t="s">
        <v>18</v>
      </c>
      <c r="E205" s="21" t="s">
        <v>114</v>
      </c>
      <c r="F205" s="3" t="s">
        <v>115</v>
      </c>
      <c r="G205" s="21" t="s">
        <v>21</v>
      </c>
      <c r="H205" s="21" t="s">
        <v>22</v>
      </c>
      <c r="I205" s="22">
        <v>454438</v>
      </c>
      <c r="J205" s="21">
        <v>454438</v>
      </c>
      <c r="K205" s="21" t="s">
        <v>32</v>
      </c>
      <c r="L205" s="25">
        <v>278.69833333333298</v>
      </c>
      <c r="M205" s="21" t="b">
        <v>1</v>
      </c>
      <c r="N205" s="21">
        <v>4</v>
      </c>
      <c r="O205" s="27">
        <v>351976579.75</v>
      </c>
      <c r="P205" s="21" t="s">
        <v>24</v>
      </c>
      <c r="Q205" s="21" t="s">
        <v>25</v>
      </c>
      <c r="R205" s="23">
        <v>454438</v>
      </c>
      <c r="S205" s="23" t="e" cm="1">
        <f t="array" aca="1" ref="S205" ca="1">Table1[[#This Row],[Nominal TRY]]*_xlfn.XLOOKUP(Table1[[#This Row],[Year]],Table2[[#All],[Year]],Table2[[#All],[Deflator to 2023]])</f>
        <v>#NAME?</v>
      </c>
      <c r="T205" s="24" t="e" cm="1">
        <f t="array" aca="1" ref="T205" ca="1">Table1[[#This Row],[Nominal TRY]]/_xlfn.XLOOKUP(Table1[[#This Row],[Year]],Table3[[#All],[Year]],Table3[[#All],[Rate]])</f>
        <v>#NAME?</v>
      </c>
    </row>
    <row r="206" spans="1:20">
      <c r="A206" s="21">
        <v>2020</v>
      </c>
      <c r="B206" s="21">
        <v>2020</v>
      </c>
      <c r="C206" s="21" t="s">
        <v>17</v>
      </c>
      <c r="D206" s="21" t="s">
        <v>18</v>
      </c>
      <c r="E206" s="21" t="s">
        <v>34</v>
      </c>
      <c r="F206" s="3" t="s">
        <v>35</v>
      </c>
      <c r="G206" s="21" t="s">
        <v>21</v>
      </c>
      <c r="H206" s="21" t="s">
        <v>22</v>
      </c>
      <c r="I206" s="22">
        <v>96962</v>
      </c>
      <c r="J206" s="21">
        <v>96962</v>
      </c>
      <c r="K206" s="21" t="s">
        <v>32</v>
      </c>
      <c r="L206" s="21">
        <v>-44.444253456406003</v>
      </c>
      <c r="M206" s="21" t="b">
        <v>1</v>
      </c>
      <c r="N206" s="21">
        <v>4</v>
      </c>
      <c r="O206" s="27">
        <v>153547.625</v>
      </c>
      <c r="P206" s="21" t="s">
        <v>36</v>
      </c>
      <c r="Q206" s="21" t="s">
        <v>25</v>
      </c>
      <c r="R206" s="23">
        <v>96962</v>
      </c>
      <c r="S206" s="23" t="e" cm="1">
        <f t="array" aca="1" ref="S206" ca="1">Table1[[#This Row],[Nominal TRY]]*_xlfn.XLOOKUP(Table1[[#This Row],[Year]],Table2[[#All],[Year]],Table2[[#All],[Deflator to 2023]])</f>
        <v>#NAME?</v>
      </c>
      <c r="T206" s="24" t="e" cm="1">
        <f t="array" aca="1" ref="T206" ca="1">Table1[[#This Row],[Nominal TRY]]/_xlfn.XLOOKUP(Table1[[#This Row],[Year]],Table3[[#All],[Year]],Table3[[#All],[Rate]])</f>
        <v>#NAME?</v>
      </c>
    </row>
    <row r="207" spans="1:20">
      <c r="A207" s="21">
        <v>2021</v>
      </c>
      <c r="B207" s="21">
        <v>2020</v>
      </c>
      <c r="C207" s="21" t="s">
        <v>17</v>
      </c>
      <c r="D207" s="21" t="s">
        <v>18</v>
      </c>
      <c r="E207" s="21" t="s">
        <v>117</v>
      </c>
      <c r="F207" s="3" t="s">
        <v>118</v>
      </c>
      <c r="G207" s="21" t="s">
        <v>40</v>
      </c>
      <c r="H207" s="21" t="s">
        <v>22</v>
      </c>
      <c r="I207" s="22">
        <v>53033000</v>
      </c>
      <c r="J207" s="21">
        <v>53033000</v>
      </c>
      <c r="K207" s="21" t="s">
        <v>23</v>
      </c>
      <c r="L207" s="21">
        <v>-69.102010615303001</v>
      </c>
      <c r="M207" s="21" t="b">
        <v>1</v>
      </c>
      <c r="N207" s="21">
        <v>4</v>
      </c>
      <c r="O207" s="27">
        <v>156832250</v>
      </c>
      <c r="P207" s="21" t="s">
        <v>36</v>
      </c>
      <c r="Q207" s="21" t="s">
        <v>25</v>
      </c>
      <c r="R207" s="23">
        <v>53033000</v>
      </c>
      <c r="S207" s="23" t="e" cm="1">
        <f t="array" aca="1" ref="S207" ca="1">Table1[[#This Row],[Nominal TRY]]*_xlfn.XLOOKUP(Table1[[#This Row],[Year]],Table2[[#All],[Year]],Table2[[#All],[Deflator to 2023]])</f>
        <v>#NAME?</v>
      </c>
      <c r="T207" s="24" t="e" cm="1">
        <f t="array" aca="1" ref="T207" ca="1">Table1[[#This Row],[Nominal TRY]]/_xlfn.XLOOKUP(Table1[[#This Row],[Year]],Table3[[#All],[Year]],Table3[[#All],[Rate]])</f>
        <v>#NAME?</v>
      </c>
    </row>
    <row r="208" spans="1:20">
      <c r="A208" s="21">
        <v>2023</v>
      </c>
      <c r="B208" s="21">
        <v>2020</v>
      </c>
      <c r="C208" s="21" t="s">
        <v>17</v>
      </c>
      <c r="D208" s="21" t="s">
        <v>18</v>
      </c>
      <c r="E208" s="21" t="s">
        <v>56</v>
      </c>
      <c r="F208" s="3" t="s">
        <v>57</v>
      </c>
      <c r="G208" s="21" t="s">
        <v>21</v>
      </c>
      <c r="H208" s="21" t="s">
        <v>22</v>
      </c>
      <c r="I208" s="22">
        <v>703716490</v>
      </c>
      <c r="J208" s="21">
        <v>703716490</v>
      </c>
      <c r="K208" s="21" t="s">
        <v>26</v>
      </c>
      <c r="L208" s="25">
        <v>31152.911266816802</v>
      </c>
      <c r="M208" s="21" t="b">
        <v>1</v>
      </c>
      <c r="N208" s="21">
        <v>4</v>
      </c>
      <c r="O208" s="27">
        <v>190634414.125</v>
      </c>
      <c r="P208" s="21" t="s">
        <v>24</v>
      </c>
      <c r="Q208" s="21" t="s">
        <v>25</v>
      </c>
      <c r="R208" s="23">
        <v>703716490</v>
      </c>
      <c r="S208" s="23" t="e" cm="1">
        <f t="array" aca="1" ref="S208" ca="1">Table1[[#This Row],[Nominal TRY]]*_xlfn.XLOOKUP(Table1[[#This Row],[Year]],Table2[[#All],[Year]],Table2[[#All],[Deflator to 2023]])</f>
        <v>#NAME?</v>
      </c>
      <c r="T208" s="24" t="e" cm="1">
        <f t="array" aca="1" ref="T208" ca="1">Table1[[#This Row],[Nominal TRY]]/_xlfn.XLOOKUP(Table1[[#This Row],[Year]],Table3[[#All],[Year]],Table3[[#All],[Rate]])</f>
        <v>#NAME?</v>
      </c>
    </row>
    <row r="209" spans="1:20">
      <c r="A209" s="21">
        <v>2021</v>
      </c>
      <c r="B209" s="21">
        <v>2020</v>
      </c>
      <c r="C209" s="21" t="s">
        <v>17</v>
      </c>
      <c r="D209" s="21" t="s">
        <v>18</v>
      </c>
      <c r="E209" s="21" t="s">
        <v>122</v>
      </c>
      <c r="F209" s="3" t="s">
        <v>123</v>
      </c>
      <c r="G209" s="21" t="s">
        <v>40</v>
      </c>
      <c r="H209" s="21" t="s">
        <v>22</v>
      </c>
      <c r="I209" s="22">
        <v>353431000</v>
      </c>
      <c r="J209" s="21">
        <v>353431000</v>
      </c>
      <c r="K209" s="21" t="s">
        <v>26</v>
      </c>
      <c r="L209" s="21">
        <v>-50.975344175885098</v>
      </c>
      <c r="M209" s="21" t="b">
        <v>1</v>
      </c>
      <c r="N209" s="21">
        <v>4</v>
      </c>
      <c r="O209" s="27">
        <v>614407000</v>
      </c>
      <c r="P209" s="21" t="s">
        <v>24</v>
      </c>
      <c r="Q209" s="21" t="s">
        <v>25</v>
      </c>
      <c r="R209" s="23">
        <v>353431000</v>
      </c>
      <c r="S209" s="23" t="e" cm="1">
        <f t="array" aca="1" ref="S209" ca="1">Table1[[#This Row],[Nominal TRY]]*_xlfn.XLOOKUP(Table1[[#This Row],[Year]],Table2[[#All],[Year]],Table2[[#All],[Deflator to 2023]])</f>
        <v>#NAME?</v>
      </c>
      <c r="T209" s="24" t="e" cm="1">
        <f t="array" aca="1" ref="T209" ca="1">Table1[[#This Row],[Nominal TRY]]/_xlfn.XLOOKUP(Table1[[#This Row],[Year]],Table3[[#All],[Year]],Table3[[#All],[Rate]])</f>
        <v>#NAME?</v>
      </c>
    </row>
    <row r="210" spans="1:20">
      <c r="A210" s="21">
        <v>2021</v>
      </c>
      <c r="B210" s="21">
        <v>2020</v>
      </c>
      <c r="C210" s="21" t="s">
        <v>17</v>
      </c>
      <c r="D210" s="21" t="s">
        <v>18</v>
      </c>
      <c r="E210" s="21" t="s">
        <v>82</v>
      </c>
      <c r="F210" s="3" t="s">
        <v>83</v>
      </c>
      <c r="G210" s="21" t="s">
        <v>21</v>
      </c>
      <c r="H210" s="21" t="s">
        <v>22</v>
      </c>
      <c r="I210" s="22">
        <v>1794750</v>
      </c>
      <c r="J210" s="21">
        <v>1794750</v>
      </c>
      <c r="K210" s="21" t="s">
        <v>23</v>
      </c>
      <c r="L210" s="25">
        <v>14.2857324793715</v>
      </c>
      <c r="M210" s="21" t="b">
        <v>1</v>
      </c>
      <c r="N210" s="21">
        <v>4</v>
      </c>
      <c r="O210" s="27">
        <v>2167758.375</v>
      </c>
      <c r="P210" s="21" t="s">
        <v>24</v>
      </c>
      <c r="Q210" s="21" t="s">
        <v>25</v>
      </c>
      <c r="R210" s="23">
        <v>1794750</v>
      </c>
      <c r="S210" s="23" t="e" cm="1">
        <f t="array" aca="1" ref="S210" ca="1">Table1[[#This Row],[Nominal TRY]]*_xlfn.XLOOKUP(Table1[[#This Row],[Year]],Table2[[#All],[Year]],Table2[[#All],[Deflator to 2023]])</f>
        <v>#NAME?</v>
      </c>
      <c r="T210" s="24" t="e" cm="1">
        <f t="array" aca="1" ref="T210" ca="1">Table1[[#This Row],[Nominal TRY]]/_xlfn.XLOOKUP(Table1[[#This Row],[Year]],Table3[[#All],[Year]],Table3[[#All],[Rate]])</f>
        <v>#NAME?</v>
      </c>
    </row>
    <row r="211" spans="1:20">
      <c r="A211" s="21">
        <v>2021</v>
      </c>
      <c r="B211" s="21">
        <v>2020</v>
      </c>
      <c r="C211" s="21" t="s">
        <v>17</v>
      </c>
      <c r="D211" s="21" t="s">
        <v>18</v>
      </c>
      <c r="E211" s="21" t="s">
        <v>38</v>
      </c>
      <c r="F211" s="3" t="s">
        <v>39</v>
      </c>
      <c r="G211" s="21" t="s">
        <v>40</v>
      </c>
      <c r="H211" s="21" t="s">
        <v>22</v>
      </c>
      <c r="I211" s="22">
        <v>703716490</v>
      </c>
      <c r="J211" s="21">
        <v>703716490</v>
      </c>
      <c r="K211" s="21" t="s">
        <v>26</v>
      </c>
      <c r="L211" s="21"/>
      <c r="M211" s="21" t="b">
        <v>1</v>
      </c>
      <c r="N211" s="21">
        <v>4</v>
      </c>
      <c r="O211" s="27">
        <v>703716490</v>
      </c>
      <c r="P211" s="21" t="s">
        <v>41</v>
      </c>
      <c r="Q211" s="21" t="s">
        <v>25</v>
      </c>
      <c r="R211" s="23">
        <v>703716490</v>
      </c>
      <c r="S211" s="23" t="e" cm="1">
        <f t="array" aca="1" ref="S211" ca="1">Table1[[#This Row],[Nominal TRY]]*_xlfn.XLOOKUP(Table1[[#This Row],[Year]],Table2[[#All],[Year]],Table2[[#All],[Deflator to 2023]])</f>
        <v>#NAME?</v>
      </c>
      <c r="T211" s="24" t="e" cm="1">
        <f t="array" aca="1" ref="T211" ca="1">Table1[[#This Row],[Nominal TRY]]/_xlfn.XLOOKUP(Table1[[#This Row],[Year]],Table3[[#All],[Year]],Table3[[#All],[Rate]])</f>
        <v>#NAME?</v>
      </c>
    </row>
    <row r="212" spans="1:20">
      <c r="A212" s="21">
        <v>2021</v>
      </c>
      <c r="B212" s="21">
        <v>2020</v>
      </c>
      <c r="C212" s="21" t="s">
        <v>17</v>
      </c>
      <c r="D212" s="21" t="s">
        <v>18</v>
      </c>
      <c r="E212" s="21" t="s">
        <v>47</v>
      </c>
      <c r="F212" s="3" t="s">
        <v>48</v>
      </c>
      <c r="G212" s="21" t="s">
        <v>40</v>
      </c>
      <c r="H212" s="21" t="s">
        <v>22</v>
      </c>
      <c r="I212" s="22">
        <v>4673535620</v>
      </c>
      <c r="J212" s="21">
        <v>4673535620</v>
      </c>
      <c r="K212" s="21" t="s">
        <v>26</v>
      </c>
      <c r="L212" s="25">
        <v>481.47325177921698</v>
      </c>
      <c r="M212" s="21" t="b">
        <v>1</v>
      </c>
      <c r="N212" s="21">
        <v>4</v>
      </c>
      <c r="O212" s="27">
        <v>2578410250</v>
      </c>
      <c r="P212" s="21" t="s">
        <v>24</v>
      </c>
      <c r="Q212" s="21" t="s">
        <v>25</v>
      </c>
      <c r="R212" s="23">
        <v>4673535620</v>
      </c>
      <c r="S212" s="23" t="e" cm="1">
        <f t="array" aca="1" ref="S212" ca="1">Table1[[#This Row],[Nominal TRY]]*_xlfn.XLOOKUP(Table1[[#This Row],[Year]],Table2[[#All],[Year]],Table2[[#All],[Deflator to 2023]])</f>
        <v>#NAME?</v>
      </c>
      <c r="T212" s="24" t="e" cm="1">
        <f t="array" aca="1" ref="T212" ca="1">Table1[[#This Row],[Nominal TRY]]/_xlfn.XLOOKUP(Table1[[#This Row],[Year]],Table3[[#All],[Year]],Table3[[#All],[Rate]])</f>
        <v>#NAME?</v>
      </c>
    </row>
    <row r="213" spans="1:20" ht="29">
      <c r="A213" s="21">
        <v>2021</v>
      </c>
      <c r="B213" s="21">
        <v>2020</v>
      </c>
      <c r="C213" s="21" t="s">
        <v>17</v>
      </c>
      <c r="D213" s="21" t="s">
        <v>18</v>
      </c>
      <c r="E213" s="21" t="s">
        <v>19</v>
      </c>
      <c r="F213" s="3" t="s">
        <v>20</v>
      </c>
      <c r="G213" s="21" t="s">
        <v>21</v>
      </c>
      <c r="H213" s="21" t="s">
        <v>22</v>
      </c>
      <c r="I213" s="22">
        <v>11427263</v>
      </c>
      <c r="J213" s="21">
        <v>11427263</v>
      </c>
      <c r="K213" s="21" t="s">
        <v>23</v>
      </c>
      <c r="L213" s="21">
        <v>-60.997915021849799</v>
      </c>
      <c r="M213" s="21" t="b">
        <v>1</v>
      </c>
      <c r="N213" s="21">
        <v>4</v>
      </c>
      <c r="O213" s="27">
        <v>99912404.875</v>
      </c>
      <c r="P213" s="21" t="s">
        <v>24</v>
      </c>
      <c r="Q213" s="21" t="s">
        <v>25</v>
      </c>
      <c r="R213" s="23">
        <v>11427263</v>
      </c>
      <c r="S213" s="23" t="e" cm="1">
        <f t="array" aca="1" ref="S213" ca="1">Table1[[#This Row],[Nominal TRY]]*_xlfn.XLOOKUP(Table1[[#This Row],[Year]],Table2[[#All],[Year]],Table2[[#All],[Deflator to 2023]])</f>
        <v>#NAME?</v>
      </c>
      <c r="T213" s="24" t="e" cm="1">
        <f t="array" aca="1" ref="T213" ca="1">Table1[[#This Row],[Nominal TRY]]/_xlfn.XLOOKUP(Table1[[#This Row],[Year]],Table3[[#All],[Year]],Table3[[#All],[Rate]])</f>
        <v>#NAME?</v>
      </c>
    </row>
    <row r="214" spans="1:20">
      <c r="A214" s="21">
        <v>2021</v>
      </c>
      <c r="B214" s="21">
        <v>2020</v>
      </c>
      <c r="C214" s="21" t="s">
        <v>17</v>
      </c>
      <c r="D214" s="21" t="s">
        <v>18</v>
      </c>
      <c r="E214" s="21" t="s">
        <v>67</v>
      </c>
      <c r="F214" s="3" t="s">
        <v>68</v>
      </c>
      <c r="G214" s="21" t="s">
        <v>61</v>
      </c>
      <c r="H214" s="21" t="s">
        <v>31</v>
      </c>
      <c r="I214" s="22">
        <v>703716490</v>
      </c>
      <c r="J214" s="21">
        <v>703716490</v>
      </c>
      <c r="K214" s="21" t="s">
        <v>26</v>
      </c>
      <c r="L214" s="21"/>
      <c r="M214" s="21" t="b">
        <v>1</v>
      </c>
      <c r="N214" s="21">
        <v>4</v>
      </c>
      <c r="O214" s="27">
        <v>703716490</v>
      </c>
      <c r="P214" s="21" t="s">
        <v>41</v>
      </c>
      <c r="Q214" s="21" t="s">
        <v>25</v>
      </c>
      <c r="R214" s="23">
        <v>703716490</v>
      </c>
      <c r="S214" s="23" t="e" cm="1">
        <f t="array" aca="1" ref="S214" ca="1">Table1[[#This Row],[Nominal TRY]]*_xlfn.XLOOKUP(Table1[[#This Row],[Year]],Table2[[#All],[Year]],Table2[[#All],[Deflator to 2023]])</f>
        <v>#NAME?</v>
      </c>
      <c r="T214" s="24" t="e" cm="1">
        <f t="array" aca="1" ref="T214" ca="1">Table1[[#This Row],[Nominal TRY]]/_xlfn.XLOOKUP(Table1[[#This Row],[Year]],Table3[[#All],[Year]],Table3[[#All],[Rate]])</f>
        <v>#NAME?</v>
      </c>
    </row>
    <row r="215" spans="1:20">
      <c r="A215" s="21">
        <v>2021</v>
      </c>
      <c r="B215" s="21">
        <v>2020</v>
      </c>
      <c r="C215" s="21" t="s">
        <v>17</v>
      </c>
      <c r="D215" s="21" t="s">
        <v>18</v>
      </c>
      <c r="E215" s="21" t="s">
        <v>98</v>
      </c>
      <c r="F215" s="3" t="s">
        <v>99</v>
      </c>
      <c r="G215" s="21" t="s">
        <v>21</v>
      </c>
      <c r="H215" s="21" t="s">
        <v>22</v>
      </c>
      <c r="I215" s="22">
        <v>17126873</v>
      </c>
      <c r="J215" s="21">
        <v>17126873</v>
      </c>
      <c r="K215" s="21" t="s">
        <v>23</v>
      </c>
      <c r="L215" s="25">
        <v>4698.1826331787797</v>
      </c>
      <c r="M215" s="21" t="b">
        <v>1</v>
      </c>
      <c r="N215" s="21">
        <v>4</v>
      </c>
      <c r="O215" s="27">
        <v>16440389.375</v>
      </c>
      <c r="P215" s="21" t="s">
        <v>24</v>
      </c>
      <c r="Q215" s="21" t="s">
        <v>25</v>
      </c>
      <c r="R215" s="23">
        <v>17126873</v>
      </c>
      <c r="S215" s="23" t="e" cm="1">
        <f t="array" aca="1" ref="S215" ca="1">Table1[[#This Row],[Nominal TRY]]*_xlfn.XLOOKUP(Table1[[#This Row],[Year]],Table2[[#All],[Year]],Table2[[#All],[Deflator to 2023]])</f>
        <v>#NAME?</v>
      </c>
      <c r="T215" s="24" t="e" cm="1">
        <f t="array" aca="1" ref="T215" ca="1">Table1[[#This Row],[Nominal TRY]]/_xlfn.XLOOKUP(Table1[[#This Row],[Year]],Table3[[#All],[Year]],Table3[[#All],[Rate]])</f>
        <v>#NAME?</v>
      </c>
    </row>
    <row r="216" spans="1:20">
      <c r="A216" s="21">
        <v>2021</v>
      </c>
      <c r="B216" s="21">
        <v>2020</v>
      </c>
      <c r="C216" s="21" t="s">
        <v>17</v>
      </c>
      <c r="D216" s="21" t="s">
        <v>18</v>
      </c>
      <c r="E216" s="21" t="s">
        <v>38</v>
      </c>
      <c r="F216" s="3" t="s">
        <v>39</v>
      </c>
      <c r="G216" s="21" t="s">
        <v>40</v>
      </c>
      <c r="H216" s="21" t="s">
        <v>22</v>
      </c>
      <c r="I216" s="22">
        <v>703716490</v>
      </c>
      <c r="J216" s="21">
        <v>703716490</v>
      </c>
      <c r="K216" s="21" t="s">
        <v>26</v>
      </c>
      <c r="L216" s="21"/>
      <c r="M216" s="21" t="b">
        <v>1</v>
      </c>
      <c r="N216" s="21">
        <v>4</v>
      </c>
      <c r="O216" s="27">
        <v>703716490</v>
      </c>
      <c r="P216" s="21" t="s">
        <v>41</v>
      </c>
      <c r="Q216" s="21" t="s">
        <v>25</v>
      </c>
      <c r="R216" s="23">
        <v>703716490</v>
      </c>
      <c r="S216" s="23" t="e" cm="1">
        <f t="array" aca="1" ref="S216" ca="1">Table1[[#This Row],[Nominal TRY]]*_xlfn.XLOOKUP(Table1[[#This Row],[Year]],Table2[[#All],[Year]],Table2[[#All],[Deflator to 2023]])</f>
        <v>#NAME?</v>
      </c>
      <c r="T216" s="24" t="e" cm="1">
        <f t="array" aca="1" ref="T216" ca="1">Table1[[#This Row],[Nominal TRY]]/_xlfn.XLOOKUP(Table1[[#This Row],[Year]],Table3[[#All],[Year]],Table3[[#All],[Rate]])</f>
        <v>#NAME?</v>
      </c>
    </row>
    <row r="217" spans="1:20">
      <c r="A217" s="21">
        <v>2021</v>
      </c>
      <c r="B217" s="21">
        <v>2020</v>
      </c>
      <c r="C217" s="21" t="s">
        <v>17</v>
      </c>
      <c r="D217" s="21" t="s">
        <v>18</v>
      </c>
      <c r="E217" s="21" t="s">
        <v>67</v>
      </c>
      <c r="F217" s="3" t="s">
        <v>68</v>
      </c>
      <c r="G217" s="21" t="s">
        <v>61</v>
      </c>
      <c r="H217" s="21" t="s">
        <v>31</v>
      </c>
      <c r="I217" s="22">
        <v>703716490</v>
      </c>
      <c r="J217" s="21">
        <v>703716490</v>
      </c>
      <c r="K217" s="21" t="s">
        <v>26</v>
      </c>
      <c r="L217" s="21"/>
      <c r="M217" s="21" t="b">
        <v>1</v>
      </c>
      <c r="N217" s="21">
        <v>4</v>
      </c>
      <c r="O217" s="27">
        <v>703716490</v>
      </c>
      <c r="P217" s="21" t="s">
        <v>41</v>
      </c>
      <c r="Q217" s="21" t="s">
        <v>25</v>
      </c>
      <c r="R217" s="23">
        <v>703716490</v>
      </c>
      <c r="S217" s="23" t="e" cm="1">
        <f t="array" aca="1" ref="S217" ca="1">Table1[[#This Row],[Nominal TRY]]*_xlfn.XLOOKUP(Table1[[#This Row],[Year]],Table2[[#All],[Year]],Table2[[#All],[Deflator to 2023]])</f>
        <v>#NAME?</v>
      </c>
      <c r="T217" s="24" t="e" cm="1">
        <f t="array" aca="1" ref="T217" ca="1">Table1[[#This Row],[Nominal TRY]]/_xlfn.XLOOKUP(Table1[[#This Row],[Year]],Table3[[#All],[Year]],Table3[[#All],[Rate]])</f>
        <v>#NAME?</v>
      </c>
    </row>
    <row r="218" spans="1:20" ht="29">
      <c r="A218" s="21">
        <v>2021</v>
      </c>
      <c r="B218" s="21">
        <v>2020</v>
      </c>
      <c r="C218" s="21" t="s">
        <v>17</v>
      </c>
      <c r="D218" s="21" t="s">
        <v>18</v>
      </c>
      <c r="E218" s="21" t="s">
        <v>114</v>
      </c>
      <c r="F218" s="3" t="s">
        <v>115</v>
      </c>
      <c r="G218" s="21" t="s">
        <v>21</v>
      </c>
      <c r="H218" s="21" t="s">
        <v>22</v>
      </c>
      <c r="I218" s="22">
        <v>177240</v>
      </c>
      <c r="J218" s="21">
        <v>177240</v>
      </c>
      <c r="K218" s="21" t="s">
        <v>32</v>
      </c>
      <c r="L218" s="21">
        <v>-60.997979922453602</v>
      </c>
      <c r="M218" s="21" t="b">
        <v>1</v>
      </c>
      <c r="N218" s="21">
        <v>4</v>
      </c>
      <c r="O218" s="27">
        <v>351976579.75</v>
      </c>
      <c r="P218" s="21" t="s">
        <v>24</v>
      </c>
      <c r="Q218" s="21" t="s">
        <v>25</v>
      </c>
      <c r="R218" s="23">
        <v>177240</v>
      </c>
      <c r="S218" s="23" t="e" cm="1">
        <f t="array" aca="1" ref="S218" ca="1">Table1[[#This Row],[Nominal TRY]]*_xlfn.XLOOKUP(Table1[[#This Row],[Year]],Table2[[#All],[Year]],Table2[[#All],[Deflator to 2023]])</f>
        <v>#NAME?</v>
      </c>
      <c r="T218" s="24" t="e" cm="1">
        <f t="array" aca="1" ref="T218" ca="1">Table1[[#This Row],[Nominal TRY]]/_xlfn.XLOOKUP(Table1[[#This Row],[Year]],Table3[[#All],[Year]],Table3[[#All],[Rate]])</f>
        <v>#NAME?</v>
      </c>
    </row>
    <row r="219" spans="1:20">
      <c r="A219" s="21">
        <v>2021</v>
      </c>
      <c r="B219" s="21">
        <v>2020</v>
      </c>
      <c r="C219" s="21" t="s">
        <v>17</v>
      </c>
      <c r="D219" s="21" t="s">
        <v>18</v>
      </c>
      <c r="E219" s="21" t="s">
        <v>65</v>
      </c>
      <c r="F219" s="3" t="s">
        <v>66</v>
      </c>
      <c r="G219" s="21" t="s">
        <v>30</v>
      </c>
      <c r="H219" s="21" t="s">
        <v>22</v>
      </c>
      <c r="I219" s="22">
        <v>1202636214</v>
      </c>
      <c r="J219" s="21">
        <v>1202636214</v>
      </c>
      <c r="K219" s="21" t="s">
        <v>26</v>
      </c>
      <c r="L219" s="25">
        <v>983.32150207002201</v>
      </c>
      <c r="M219" s="21" t="b">
        <v>1</v>
      </c>
      <c r="N219" s="21">
        <v>4</v>
      </c>
      <c r="O219" s="27">
        <v>2742906750</v>
      </c>
      <c r="P219" s="21" t="s">
        <v>24</v>
      </c>
      <c r="Q219" s="21" t="s">
        <v>25</v>
      </c>
      <c r="R219" s="23">
        <v>1202636214</v>
      </c>
      <c r="S219" s="23" t="e" cm="1">
        <f t="array" aca="1" ref="S219" ca="1">Table1[[#This Row],[Nominal TRY]]*_xlfn.XLOOKUP(Table1[[#This Row],[Year]],Table2[[#All],[Year]],Table2[[#All],[Deflator to 2023]])</f>
        <v>#NAME?</v>
      </c>
      <c r="T219" s="24" t="e" cm="1">
        <f t="array" aca="1" ref="T219" ca="1">Table1[[#This Row],[Nominal TRY]]/_xlfn.XLOOKUP(Table1[[#This Row],[Year]],Table3[[#All],[Year]],Table3[[#All],[Rate]])</f>
        <v>#NAME?</v>
      </c>
    </row>
    <row r="220" spans="1:20">
      <c r="A220" s="21">
        <v>2021</v>
      </c>
      <c r="B220" s="21">
        <v>2020</v>
      </c>
      <c r="C220" s="21" t="s">
        <v>17</v>
      </c>
      <c r="D220" s="21" t="s">
        <v>18</v>
      </c>
      <c r="E220" s="21" t="s">
        <v>28</v>
      </c>
      <c r="F220" s="3" t="s">
        <v>29</v>
      </c>
      <c r="G220" s="21" t="s">
        <v>30</v>
      </c>
      <c r="H220" s="21" t="s">
        <v>31</v>
      </c>
      <c r="I220" s="22">
        <v>61129</v>
      </c>
      <c r="J220" s="21">
        <v>61129</v>
      </c>
      <c r="K220" s="21" t="s">
        <v>32</v>
      </c>
      <c r="L220" s="25">
        <v>983.27130958709904</v>
      </c>
      <c r="M220" s="21" t="b">
        <v>1</v>
      </c>
      <c r="N220" s="21">
        <v>4</v>
      </c>
      <c r="O220" s="28">
        <v>64491.166666666599</v>
      </c>
      <c r="P220" s="21" t="s">
        <v>24</v>
      </c>
      <c r="Q220" s="21" t="s">
        <v>25</v>
      </c>
      <c r="R220" s="23">
        <v>61129</v>
      </c>
      <c r="S220" s="23" t="e" cm="1">
        <f t="array" aca="1" ref="S220" ca="1">Table1[[#This Row],[Nominal TRY]]*_xlfn.XLOOKUP(Table1[[#This Row],[Year]],Table2[[#All],[Year]],Table2[[#All],[Deflator to 2023]])</f>
        <v>#NAME?</v>
      </c>
      <c r="T220" s="24" t="e" cm="1">
        <f t="array" aca="1" ref="T220" ca="1">Table1[[#This Row],[Nominal TRY]]/_xlfn.XLOOKUP(Table1[[#This Row],[Year]],Table3[[#All],[Year]],Table3[[#All],[Rate]])</f>
        <v>#NAME?</v>
      </c>
    </row>
    <row r="221" spans="1:20">
      <c r="A221" s="21">
        <v>2022</v>
      </c>
      <c r="B221" s="21">
        <v>2020</v>
      </c>
      <c r="C221" s="21" t="s">
        <v>17</v>
      </c>
      <c r="D221" s="21" t="s">
        <v>18</v>
      </c>
      <c r="E221" s="21" t="s">
        <v>28</v>
      </c>
      <c r="F221" s="3" t="s">
        <v>29</v>
      </c>
      <c r="G221" s="21" t="s">
        <v>30</v>
      </c>
      <c r="H221" s="21" t="s">
        <v>31</v>
      </c>
      <c r="I221" s="22">
        <v>72664</v>
      </c>
      <c r="J221" s="21">
        <v>72664</v>
      </c>
      <c r="K221" s="21" t="s">
        <v>32</v>
      </c>
      <c r="L221" s="25">
        <v>18.8699308020743</v>
      </c>
      <c r="M221" s="21" t="b">
        <v>1</v>
      </c>
      <c r="N221" s="21">
        <v>4</v>
      </c>
      <c r="O221" s="28">
        <v>64491.166666666599</v>
      </c>
      <c r="P221" s="21" t="s">
        <v>24</v>
      </c>
      <c r="Q221" s="21" t="s">
        <v>25</v>
      </c>
      <c r="R221" s="23">
        <v>72664</v>
      </c>
      <c r="S221" s="23" t="e" cm="1">
        <f t="array" aca="1" ref="S221" ca="1">Table1[[#This Row],[Nominal TRY]]*_xlfn.XLOOKUP(Table1[[#This Row],[Year]],Table2[[#All],[Year]],Table2[[#All],[Deflator to 2023]])</f>
        <v>#NAME?</v>
      </c>
      <c r="T221" s="24" t="e" cm="1">
        <f t="array" aca="1" ref="T221" ca="1">Table1[[#This Row],[Nominal TRY]]/_xlfn.XLOOKUP(Table1[[#This Row],[Year]],Table3[[#All],[Year]],Table3[[#All],[Rate]])</f>
        <v>#NAME?</v>
      </c>
    </row>
    <row r="222" spans="1:20">
      <c r="A222" s="21">
        <v>2023</v>
      </c>
      <c r="B222" s="21">
        <v>2020</v>
      </c>
      <c r="C222" s="21" t="s">
        <v>17</v>
      </c>
      <c r="D222" s="21" t="s">
        <v>18</v>
      </c>
      <c r="E222" s="21" t="s">
        <v>28</v>
      </c>
      <c r="F222" s="3" t="s">
        <v>29</v>
      </c>
      <c r="G222" s="21" t="s">
        <v>30</v>
      </c>
      <c r="H222" s="21" t="s">
        <v>31</v>
      </c>
      <c r="I222" s="22">
        <v>76090</v>
      </c>
      <c r="J222" s="21">
        <v>76090</v>
      </c>
      <c r="K222" s="21" t="s">
        <v>32</v>
      </c>
      <c r="L222" s="25">
        <v>4.7148519211714204</v>
      </c>
      <c r="M222" s="21" t="b">
        <v>1</v>
      </c>
      <c r="N222" s="21">
        <v>4</v>
      </c>
      <c r="O222" s="28">
        <v>64491.166666666599</v>
      </c>
      <c r="P222" s="21" t="s">
        <v>24</v>
      </c>
      <c r="Q222" s="21" t="s">
        <v>25</v>
      </c>
      <c r="R222" s="23">
        <v>76090</v>
      </c>
      <c r="S222" s="23" t="e" cm="1">
        <f t="array" aca="1" ref="S222" ca="1">Table1[[#This Row],[Nominal TRY]]*_xlfn.XLOOKUP(Table1[[#This Row],[Year]],Table2[[#All],[Year]],Table2[[#All],[Deflator to 2023]])</f>
        <v>#NAME?</v>
      </c>
      <c r="T222" s="24" t="e" cm="1">
        <f t="array" aca="1" ref="T222" ca="1">Table1[[#This Row],[Nominal TRY]]/_xlfn.XLOOKUP(Table1[[#This Row],[Year]],Table3[[#All],[Year]],Table3[[#All],[Rate]])</f>
        <v>#NAME?</v>
      </c>
    </row>
    <row r="223" spans="1:20">
      <c r="A223" s="21">
        <v>2022</v>
      </c>
      <c r="B223" s="21">
        <v>2020</v>
      </c>
      <c r="C223" s="21" t="s">
        <v>17</v>
      </c>
      <c r="D223" s="21" t="s">
        <v>18</v>
      </c>
      <c r="E223" s="21" t="s">
        <v>105</v>
      </c>
      <c r="F223" s="3" t="s">
        <v>106</v>
      </c>
      <c r="G223" s="21" t="s">
        <v>107</v>
      </c>
      <c r="H223" s="21" t="s">
        <v>31</v>
      </c>
      <c r="I223" s="22">
        <v>708695719</v>
      </c>
      <c r="J223" s="21">
        <v>708695719</v>
      </c>
      <c r="K223" s="21" t="s">
        <v>26</v>
      </c>
      <c r="L223" s="21">
        <v>-34.080523685565197</v>
      </c>
      <c r="M223" s="21" t="b">
        <v>1</v>
      </c>
      <c r="N223" s="21">
        <v>4</v>
      </c>
      <c r="O223" s="27">
        <v>1391639889.75</v>
      </c>
      <c r="P223" s="21" t="s">
        <v>24</v>
      </c>
      <c r="Q223" s="21" t="s">
        <v>25</v>
      </c>
      <c r="R223" s="23">
        <v>708695719</v>
      </c>
      <c r="S223" s="23" t="e" cm="1">
        <f t="array" aca="1" ref="S223" ca="1">Table1[[#This Row],[Nominal TRY]]*_xlfn.XLOOKUP(Table1[[#This Row],[Year]],Table2[[#All],[Year]],Table2[[#All],[Deflator to 2023]])</f>
        <v>#NAME?</v>
      </c>
      <c r="T223" s="24" t="e" cm="1">
        <f t="array" aca="1" ref="T223" ca="1">Table1[[#This Row],[Nominal TRY]]/_xlfn.XLOOKUP(Table1[[#This Row],[Year]],Table3[[#All],[Year]],Table3[[#All],[Rate]])</f>
        <v>#NAME?</v>
      </c>
    </row>
    <row r="224" spans="1:20">
      <c r="A224" s="21">
        <v>2023</v>
      </c>
      <c r="B224" s="21">
        <v>2020</v>
      </c>
      <c r="C224" s="21" t="s">
        <v>17</v>
      </c>
      <c r="D224" s="21" t="s">
        <v>18</v>
      </c>
      <c r="E224" s="21" t="s">
        <v>105</v>
      </c>
      <c r="F224" s="3" t="s">
        <v>106</v>
      </c>
      <c r="G224" s="21" t="s">
        <v>107</v>
      </c>
      <c r="H224" s="21" t="s">
        <v>31</v>
      </c>
      <c r="I224" s="22">
        <v>1176373280</v>
      </c>
      <c r="J224" s="21">
        <v>1176373280</v>
      </c>
      <c r="K224" s="21" t="s">
        <v>26</v>
      </c>
      <c r="L224" s="25">
        <v>65.991306065727699</v>
      </c>
      <c r="M224" s="21" t="b">
        <v>1</v>
      </c>
      <c r="N224" s="21">
        <v>4</v>
      </c>
      <c r="O224" s="27">
        <v>1391639889.75</v>
      </c>
      <c r="P224" s="21" t="s">
        <v>24</v>
      </c>
      <c r="Q224" s="21" t="s">
        <v>25</v>
      </c>
      <c r="R224" s="23">
        <v>1176373280</v>
      </c>
      <c r="S224" s="23" t="e" cm="1">
        <f t="array" aca="1" ref="S224" ca="1">Table1[[#This Row],[Nominal TRY]]*_xlfn.XLOOKUP(Table1[[#This Row],[Year]],Table2[[#All],[Year]],Table2[[#All],[Deflator to 2023]])</f>
        <v>#NAME?</v>
      </c>
      <c r="T224" s="24" t="e" cm="1">
        <f t="array" aca="1" ref="T224" ca="1">Table1[[#This Row],[Nominal TRY]]/_xlfn.XLOOKUP(Table1[[#This Row],[Year]],Table3[[#All],[Year]],Table3[[#All],[Rate]])</f>
        <v>#NAME?</v>
      </c>
    </row>
    <row r="225" spans="1:20">
      <c r="A225" s="21">
        <v>2020</v>
      </c>
      <c r="B225" s="21">
        <v>2020</v>
      </c>
      <c r="C225" s="21" t="s">
        <v>17</v>
      </c>
      <c r="D225" s="21" t="s">
        <v>18</v>
      </c>
      <c r="E225" s="21" t="s">
        <v>105</v>
      </c>
      <c r="F225" s="3" t="s">
        <v>106</v>
      </c>
      <c r="G225" s="21" t="s">
        <v>107</v>
      </c>
      <c r="H225" s="21" t="s">
        <v>31</v>
      </c>
      <c r="I225" s="22">
        <v>1228126477</v>
      </c>
      <c r="J225" s="21">
        <v>1228126477</v>
      </c>
      <c r="K225" s="21" t="s">
        <v>26</v>
      </c>
      <c r="L225" s="25">
        <v>4.3993856269839799</v>
      </c>
      <c r="M225" s="21" t="b">
        <v>1</v>
      </c>
      <c r="N225" s="21">
        <v>4</v>
      </c>
      <c r="O225" s="27">
        <v>1391639889.75</v>
      </c>
      <c r="P225" s="21" t="s">
        <v>24</v>
      </c>
      <c r="Q225" s="21" t="s">
        <v>25</v>
      </c>
      <c r="R225" s="23">
        <v>1228126477</v>
      </c>
      <c r="S225" s="23" t="e" cm="1">
        <f t="array" aca="1" ref="S225" ca="1">Table1[[#This Row],[Nominal TRY]]*_xlfn.XLOOKUP(Table1[[#This Row],[Year]],Table2[[#All],[Year]],Table2[[#All],[Deflator to 2023]])</f>
        <v>#NAME?</v>
      </c>
      <c r="T225" s="24" t="e" cm="1">
        <f t="array" aca="1" ref="T225" ca="1">Table1[[#This Row],[Nominal TRY]]/_xlfn.XLOOKUP(Table1[[#This Row],[Year]],Table3[[#All],[Year]],Table3[[#All],[Rate]])</f>
        <v>#NAME?</v>
      </c>
    </row>
  </sheetData>
  <phoneticPr fontId="20"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81AD-792A-4A98-8635-4E62EFF30658}">
  <dimension ref="A1:D12"/>
  <sheetViews>
    <sheetView workbookViewId="0">
      <selection activeCell="G19" sqref="G19"/>
    </sheetView>
  </sheetViews>
  <sheetFormatPr defaultRowHeight="14.5"/>
  <cols>
    <col min="1" max="1" width="8.26953125" customWidth="1"/>
    <col min="2" max="2" width="16.81640625" bestFit="1" customWidth="1"/>
    <col min="3" max="3" width="18.453125" customWidth="1"/>
    <col min="4" max="4" width="19" customWidth="1"/>
  </cols>
  <sheetData>
    <row r="1" spans="1:4">
      <c r="A1" s="6" t="s">
        <v>0</v>
      </c>
      <c r="B1" s="7" t="s">
        <v>165</v>
      </c>
      <c r="C1" s="7" t="s">
        <v>164</v>
      </c>
      <c r="D1" s="8" t="s">
        <v>167</v>
      </c>
    </row>
    <row r="2" spans="1:4">
      <c r="A2" s="9">
        <v>2020</v>
      </c>
      <c r="B2" s="10" t="s">
        <v>166</v>
      </c>
      <c r="C2" s="10">
        <v>1</v>
      </c>
      <c r="D2" s="11">
        <f>$C$5/C2</f>
        <v>3.1579999999999999</v>
      </c>
    </row>
    <row r="3" spans="1:4">
      <c r="A3" s="9">
        <v>2021</v>
      </c>
      <c r="B3" s="12">
        <v>0.2</v>
      </c>
      <c r="C3" s="10">
        <v>1.2</v>
      </c>
      <c r="D3" s="11">
        <f t="shared" ref="D3:D5" si="0">$C$5/C3</f>
        <v>2.6316666666666668</v>
      </c>
    </row>
    <row r="4" spans="1:4">
      <c r="A4" s="9">
        <v>2022</v>
      </c>
      <c r="B4" s="12">
        <v>0.72</v>
      </c>
      <c r="C4" s="10">
        <v>2.0640000000000001</v>
      </c>
      <c r="D4" s="11">
        <f t="shared" si="0"/>
        <v>1.5300387596899223</v>
      </c>
    </row>
    <row r="5" spans="1:4">
      <c r="A5" s="13">
        <v>2023</v>
      </c>
      <c r="B5" s="14">
        <v>0.53</v>
      </c>
      <c r="C5" s="15">
        <v>3.1579999999999999</v>
      </c>
      <c r="D5" s="16">
        <f t="shared" si="0"/>
        <v>1</v>
      </c>
    </row>
    <row r="7" spans="1:4">
      <c r="A7" s="42" t="s">
        <v>168</v>
      </c>
      <c r="B7" s="42"/>
      <c r="C7" s="42"/>
    </row>
    <row r="8" spans="1:4" ht="15" thickBot="1">
      <c r="A8" s="5" t="s">
        <v>0</v>
      </c>
      <c r="B8" s="18" t="s">
        <v>169</v>
      </c>
    </row>
    <row r="9" spans="1:4" ht="15" thickBot="1">
      <c r="A9" s="4">
        <v>2020</v>
      </c>
      <c r="B9" s="17">
        <v>7.02</v>
      </c>
    </row>
    <row r="10" spans="1:4" ht="15" thickBot="1">
      <c r="A10" s="4">
        <v>2021</v>
      </c>
      <c r="B10" s="17">
        <v>8.89</v>
      </c>
    </row>
    <row r="11" spans="1:4" ht="15" thickBot="1">
      <c r="A11" s="4">
        <v>2022</v>
      </c>
      <c r="B11" s="17">
        <v>16.57</v>
      </c>
    </row>
    <row r="12" spans="1:4">
      <c r="A12" s="19">
        <v>2023</v>
      </c>
      <c r="B12" s="20">
        <v>23.82</v>
      </c>
    </row>
  </sheetData>
  <mergeCells count="1">
    <mergeCell ref="A7:C7"/>
  </mergeCells>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E3D7F-95A5-4FC2-8909-037E7DCB43EC}">
  <dimension ref="A2:AA111"/>
  <sheetViews>
    <sheetView topLeftCell="A126" workbookViewId="0">
      <selection activeCell="K39" sqref="K39"/>
    </sheetView>
  </sheetViews>
  <sheetFormatPr defaultRowHeight="14.5"/>
  <cols>
    <col min="1" max="1" width="18.81640625" bestFit="1" customWidth="1"/>
    <col min="2" max="2" width="15.26953125" bestFit="1" customWidth="1"/>
    <col min="3" max="8" width="10.453125" bestFit="1" customWidth="1"/>
    <col min="9" max="18" width="10.1796875" bestFit="1" customWidth="1"/>
    <col min="19" max="19" width="12.36328125" bestFit="1" customWidth="1"/>
    <col min="20" max="20" width="18.54296875" bestFit="1" customWidth="1"/>
    <col min="21" max="21" width="18.81640625" bestFit="1" customWidth="1"/>
    <col min="22" max="27" width="10.1796875" bestFit="1" customWidth="1"/>
  </cols>
  <sheetData>
    <row r="2" spans="1:3">
      <c r="A2" s="36" t="s">
        <v>178</v>
      </c>
    </row>
    <row r="3" spans="1:3">
      <c r="A3" s="30" t="s">
        <v>172</v>
      </c>
      <c r="B3" t="s">
        <v>176</v>
      </c>
      <c r="C3" t="s">
        <v>177</v>
      </c>
    </row>
    <row r="4" spans="1:3">
      <c r="A4" s="31">
        <v>2020</v>
      </c>
      <c r="B4" s="38">
        <v>27846709056</v>
      </c>
      <c r="C4" s="38">
        <v>88313877696.946915</v>
      </c>
    </row>
    <row r="5" spans="1:3">
      <c r="A5" s="31">
        <v>2021</v>
      </c>
      <c r="B5" s="38">
        <v>29018209352</v>
      </c>
      <c r="C5" s="38">
        <v>76947498684.070328</v>
      </c>
    </row>
    <row r="6" spans="1:3">
      <c r="A6" s="31">
        <v>2022</v>
      </c>
      <c r="B6" s="38">
        <v>40593095036</v>
      </c>
      <c r="C6" s="38">
        <v>62472773260.403999</v>
      </c>
    </row>
    <row r="7" spans="1:3">
      <c r="A7" s="31">
        <v>2023</v>
      </c>
      <c r="B7" s="38">
        <v>49990894808</v>
      </c>
      <c r="C7" s="38">
        <v>49990894808</v>
      </c>
    </row>
    <row r="8" spans="1:3">
      <c r="A8" s="31" t="s">
        <v>174</v>
      </c>
      <c r="B8" s="38">
        <v>147448908252</v>
      </c>
      <c r="C8" s="38">
        <v>277725044449.42126</v>
      </c>
    </row>
    <row r="9" spans="1:3">
      <c r="A9" t="s">
        <v>179</v>
      </c>
    </row>
    <row r="10" spans="1:3">
      <c r="A10" t="s">
        <v>180</v>
      </c>
    </row>
    <row r="18" spans="1:21">
      <c r="A18" s="36" t="s">
        <v>181</v>
      </c>
    </row>
    <row r="19" spans="1:21">
      <c r="A19" s="30" t="s">
        <v>172</v>
      </c>
      <c r="B19" s="37" t="s">
        <v>177</v>
      </c>
      <c r="C19" s="37" t="s">
        <v>176</v>
      </c>
    </row>
    <row r="20" spans="1:21">
      <c r="A20" s="31" t="s">
        <v>40</v>
      </c>
      <c r="B20" s="38">
        <v>130242700039.82054</v>
      </c>
      <c r="C20" s="38">
        <v>64976957840</v>
      </c>
      <c r="Q20" s="30"/>
      <c r="R20" s="30"/>
      <c r="S20" s="30"/>
      <c r="T20" s="30"/>
      <c r="U20" s="30"/>
    </row>
    <row r="21" spans="1:21">
      <c r="A21" s="31" t="s">
        <v>30</v>
      </c>
      <c r="B21" s="38">
        <v>60695653078.363441</v>
      </c>
      <c r="C21" s="38">
        <v>36019131588</v>
      </c>
      <c r="S21" s="30" t="s">
        <v>172</v>
      </c>
      <c r="T21" t="s">
        <v>176</v>
      </c>
      <c r="U21" t="s">
        <v>177</v>
      </c>
    </row>
    <row r="22" spans="1:21">
      <c r="A22" s="31" t="s">
        <v>61</v>
      </c>
      <c r="B22" s="38">
        <v>47165982294.708923</v>
      </c>
      <c r="C22" s="38">
        <v>22325513310</v>
      </c>
      <c r="S22" s="31">
        <v>2020</v>
      </c>
      <c r="T22" s="38">
        <v>27846709056</v>
      </c>
      <c r="U22" s="38">
        <v>88313877696.946915</v>
      </c>
    </row>
    <row r="23" spans="1:21">
      <c r="A23" s="31" t="s">
        <v>107</v>
      </c>
      <c r="B23" s="38">
        <v>21492254040.996338</v>
      </c>
      <c r="C23" s="38">
        <v>11133119118</v>
      </c>
      <c r="S23" s="31">
        <v>2021</v>
      </c>
      <c r="T23" s="38">
        <v>29018209352</v>
      </c>
      <c r="U23" s="38">
        <v>76947498684.070328</v>
      </c>
    </row>
    <row r="24" spans="1:21">
      <c r="A24" s="31" t="s">
        <v>21</v>
      </c>
      <c r="B24" s="38">
        <v>18128454995.532021</v>
      </c>
      <c r="C24" s="38">
        <v>12994186396</v>
      </c>
      <c r="S24" s="31">
        <v>2022</v>
      </c>
      <c r="T24" s="38">
        <v>40593095036</v>
      </c>
      <c r="U24" s="38">
        <v>62472773260.403999</v>
      </c>
    </row>
    <row r="25" spans="1:21">
      <c r="A25" s="31" t="s">
        <v>174</v>
      </c>
      <c r="B25" s="38">
        <v>277725044449.42126</v>
      </c>
      <c r="C25" s="38">
        <v>147448908252</v>
      </c>
      <c r="S25" s="31">
        <v>2023</v>
      </c>
      <c r="T25" s="38">
        <v>49990894808</v>
      </c>
      <c r="U25" s="38">
        <v>49990894808</v>
      </c>
    </row>
    <row r="26" spans="1:21">
      <c r="A26" s="31" t="s">
        <v>182</v>
      </c>
      <c r="S26" s="31" t="s">
        <v>174</v>
      </c>
      <c r="T26" s="38">
        <v>147448908252</v>
      </c>
      <c r="U26" s="38">
        <v>277725044449.42126</v>
      </c>
    </row>
    <row r="27" spans="1:21">
      <c r="A27" s="31" t="s">
        <v>183</v>
      </c>
    </row>
    <row r="28" spans="1:21">
      <c r="A28" s="31" t="s">
        <v>184</v>
      </c>
    </row>
    <row r="29" spans="1:21">
      <c r="A29" s="31" t="s">
        <v>185</v>
      </c>
    </row>
    <row r="39" spans="1:2">
      <c r="A39" s="36" t="s">
        <v>186</v>
      </c>
    </row>
    <row r="40" spans="1:2">
      <c r="A40" s="30" t="s">
        <v>172</v>
      </c>
      <c r="B40" t="s">
        <v>177</v>
      </c>
    </row>
    <row r="41" spans="1:2">
      <c r="A41" s="31" t="s">
        <v>22</v>
      </c>
      <c r="B41" s="29">
        <v>0.75275481308319336</v>
      </c>
    </row>
    <row r="42" spans="1:2">
      <c r="A42" s="31" t="s">
        <v>31</v>
      </c>
      <c r="B42" s="29">
        <v>0.24724518691680669</v>
      </c>
    </row>
    <row r="43" spans="1:2">
      <c r="A43" s="31" t="s">
        <v>174</v>
      </c>
      <c r="B43" s="29">
        <v>1</v>
      </c>
    </row>
    <row r="44" spans="1:2">
      <c r="A44" s="31" t="s">
        <v>190</v>
      </c>
    </row>
    <row r="45" spans="1:2">
      <c r="A45" s="31" t="s">
        <v>191</v>
      </c>
    </row>
    <row r="46" spans="1:2">
      <c r="A46" s="31" t="s">
        <v>192</v>
      </c>
    </row>
    <row r="47" spans="1:2">
      <c r="A47" s="31" t="s">
        <v>193</v>
      </c>
    </row>
    <row r="48" spans="1:2">
      <c r="A48" s="31" t="s">
        <v>194</v>
      </c>
    </row>
    <row r="58" spans="1:2" s="41" customFormat="1">
      <c r="A58" s="41" t="s">
        <v>195</v>
      </c>
    </row>
    <row r="59" spans="1:2">
      <c r="A59" s="30" t="s">
        <v>172</v>
      </c>
      <c r="B59" t="s">
        <v>196</v>
      </c>
    </row>
    <row r="60" spans="1:2">
      <c r="A60" s="31" t="s">
        <v>31</v>
      </c>
      <c r="B60" s="43">
        <v>0.23076923076923078</v>
      </c>
    </row>
    <row r="61" spans="1:2">
      <c r="A61" s="31" t="s">
        <v>22</v>
      </c>
      <c r="B61" s="43">
        <v>0.76923076923076927</v>
      </c>
    </row>
    <row r="74" spans="1:6">
      <c r="A74" s="30" t="s">
        <v>177</v>
      </c>
      <c r="B74" s="30" t="s">
        <v>189</v>
      </c>
    </row>
    <row r="75" spans="1:6">
      <c r="A75" s="30" t="s">
        <v>172</v>
      </c>
      <c r="B75" t="s">
        <v>61</v>
      </c>
      <c r="C75" t="s">
        <v>40</v>
      </c>
      <c r="D75" t="s">
        <v>21</v>
      </c>
      <c r="E75" t="s">
        <v>107</v>
      </c>
      <c r="F75" t="s">
        <v>30</v>
      </c>
    </row>
    <row r="76" spans="1:6">
      <c r="A76" s="31">
        <v>2020</v>
      </c>
      <c r="B76" s="38">
        <v>17537580655.934803</v>
      </c>
      <c r="C76" s="38">
        <v>47824057936.027443</v>
      </c>
      <c r="D76" s="38">
        <v>2958322253.1634841</v>
      </c>
      <c r="E76" s="38">
        <v>6484633719.2316303</v>
      </c>
      <c r="F76" s="38">
        <v>13509283132.589588</v>
      </c>
    </row>
    <row r="77" spans="1:6">
      <c r="A77" s="31">
        <v>2021</v>
      </c>
      <c r="B77" s="38">
        <v>15335468996.334118</v>
      </c>
      <c r="C77" s="38">
        <v>38751616120.353119</v>
      </c>
      <c r="D77" s="38">
        <v>2904644288.7035365</v>
      </c>
      <c r="E77" s="38">
        <v>7141185741.4557104</v>
      </c>
      <c r="F77" s="38">
        <v>12814583537.223852</v>
      </c>
    </row>
    <row r="78" spans="1:6">
      <c r="A78" s="31">
        <v>2022</v>
      </c>
      <c r="B78" s="38">
        <v>9366917212.4399986</v>
      </c>
      <c r="C78" s="38">
        <v>23937629023.440002</v>
      </c>
      <c r="D78" s="38">
        <v>3710437021.6649995</v>
      </c>
      <c r="E78" s="38">
        <v>4200361044.309</v>
      </c>
      <c r="F78" s="38">
        <v>21257428958.550003</v>
      </c>
    </row>
    <row r="79" spans="1:6">
      <c r="A79" s="31">
        <v>2023</v>
      </c>
      <c r="B79" s="38">
        <v>4926015430</v>
      </c>
      <c r="C79" s="38">
        <v>19729396960</v>
      </c>
      <c r="D79" s="38">
        <v>8555051432</v>
      </c>
      <c r="E79" s="38">
        <v>3666073536</v>
      </c>
      <c r="F79" s="38">
        <v>13114357450</v>
      </c>
    </row>
    <row r="106" spans="1:27">
      <c r="A106" s="30" t="s">
        <v>177</v>
      </c>
      <c r="B106" s="30" t="s">
        <v>189</v>
      </c>
    </row>
    <row r="107" spans="1:27">
      <c r="A107" s="30" t="s">
        <v>172</v>
      </c>
      <c r="B107" t="s">
        <v>78</v>
      </c>
      <c r="C107" t="s">
        <v>59</v>
      </c>
      <c r="D107" t="s">
        <v>28</v>
      </c>
      <c r="E107" t="s">
        <v>67</v>
      </c>
      <c r="F107" t="s">
        <v>56</v>
      </c>
      <c r="G107" t="s">
        <v>87</v>
      </c>
      <c r="H107" t="s">
        <v>105</v>
      </c>
      <c r="I107" t="s">
        <v>44</v>
      </c>
      <c r="J107" t="s">
        <v>65</v>
      </c>
      <c r="K107" t="s">
        <v>96</v>
      </c>
      <c r="L107" t="s">
        <v>69</v>
      </c>
      <c r="M107" t="s">
        <v>101</v>
      </c>
      <c r="N107" t="s">
        <v>38</v>
      </c>
      <c r="O107" t="s">
        <v>51</v>
      </c>
      <c r="P107" t="s">
        <v>122</v>
      </c>
      <c r="Q107" t="s">
        <v>85</v>
      </c>
      <c r="R107" t="s">
        <v>47</v>
      </c>
      <c r="S107" t="s">
        <v>117</v>
      </c>
      <c r="T107" t="s">
        <v>91</v>
      </c>
      <c r="U107" t="s">
        <v>71</v>
      </c>
      <c r="V107" t="s">
        <v>114</v>
      </c>
      <c r="W107" t="s">
        <v>19</v>
      </c>
      <c r="X107" t="s">
        <v>42</v>
      </c>
      <c r="Y107" t="s">
        <v>82</v>
      </c>
      <c r="Z107" t="s">
        <v>98</v>
      </c>
      <c r="AA107" t="s">
        <v>34</v>
      </c>
    </row>
    <row r="108" spans="1:27">
      <c r="A108" s="31">
        <v>2020</v>
      </c>
      <c r="B108" s="38">
        <v>4757144417.999999</v>
      </c>
      <c r="C108" s="38">
        <v>3853286978.5799994</v>
      </c>
      <c r="D108" s="38">
        <v>1135444.7439770757</v>
      </c>
      <c r="E108" s="38">
        <v>8927149259.354805</v>
      </c>
      <c r="F108" s="38">
        <v>346507227.97750795</v>
      </c>
      <c r="G108" s="38">
        <v>1703168.7016804197</v>
      </c>
      <c r="H108" s="38">
        <v>6484633719.2316303</v>
      </c>
      <c r="I108" s="38">
        <v>2008793030.5296357</v>
      </c>
      <c r="J108" s="38">
        <v>2349211113.6521034</v>
      </c>
      <c r="K108" s="38">
        <v>6695361944.5161047</v>
      </c>
      <c r="L108" s="38">
        <v>2231787314.8387012</v>
      </c>
      <c r="M108" s="38">
        <v>7112736448.0314465</v>
      </c>
      <c r="N108" s="38">
        <v>6695361944.5161047</v>
      </c>
      <c r="O108" s="38">
        <v>4463574629.6774025</v>
      </c>
      <c r="P108" s="38">
        <v>2286362893.0310998</v>
      </c>
      <c r="Q108" s="38">
        <v>2231787314.8387012</v>
      </c>
      <c r="R108" s="38">
        <v>26741266145.451931</v>
      </c>
      <c r="S108" s="38">
        <v>544341007.17406785</v>
      </c>
      <c r="T108" s="38">
        <v>203409152.45445597</v>
      </c>
      <c r="U108" s="38">
        <v>256010483.99908796</v>
      </c>
      <c r="V108" s="38">
        <v>999000.32777999982</v>
      </c>
      <c r="W108" s="38">
        <v>71636309.161588997</v>
      </c>
      <c r="X108" s="38">
        <v>920770.6735407958</v>
      </c>
      <c r="Y108" s="38">
        <v>12117553.661580585</v>
      </c>
      <c r="Z108" s="38">
        <v>35779402.882365473</v>
      </c>
      <c r="AA108" s="38">
        <v>861020.93965071579</v>
      </c>
    </row>
    <row r="109" spans="1:27">
      <c r="A109" s="31">
        <v>2021</v>
      </c>
      <c r="B109" s="38">
        <v>3977545499.9999995</v>
      </c>
      <c r="C109" s="38">
        <v>3893751874.7999992</v>
      </c>
      <c r="D109" s="38">
        <v>967246.25620499987</v>
      </c>
      <c r="E109" s="38">
        <v>7464171621.5341187</v>
      </c>
      <c r="F109" s="38">
        <v>323066849.64630294</v>
      </c>
      <c r="G109" s="38">
        <v>1530418.9684589996</v>
      </c>
      <c r="H109" s="38">
        <v>7141185741.4557104</v>
      </c>
      <c r="I109" s="38">
        <v>445424106.96899992</v>
      </c>
      <c r="J109" s="38">
        <v>3483401764.0499992</v>
      </c>
      <c r="K109" s="38">
        <v>5598128716.150589</v>
      </c>
      <c r="L109" s="38">
        <v>1866042905.3835297</v>
      </c>
      <c r="M109" s="38">
        <v>10037476609.190998</v>
      </c>
      <c r="N109" s="38">
        <v>5598128716.150589</v>
      </c>
      <c r="O109" s="38">
        <v>3732085810.7670593</v>
      </c>
      <c r="P109" s="38">
        <v>937191922.40699983</v>
      </c>
      <c r="Q109" s="38">
        <v>1866042905.3835297</v>
      </c>
      <c r="R109" s="38">
        <v>19709620967.600998</v>
      </c>
      <c r="S109" s="38">
        <v>140627447.00099999</v>
      </c>
      <c r="T109" s="38">
        <v>17103445.649999999</v>
      </c>
      <c r="U109" s="38">
        <v>546967918.76220894</v>
      </c>
      <c r="V109" s="38">
        <v>1675018.6575659998</v>
      </c>
      <c r="W109" s="38">
        <v>107993995.80158699</v>
      </c>
      <c r="X109" s="38">
        <v>1290016.1184389999</v>
      </c>
      <c r="Y109" s="38">
        <v>8923374.0697319992</v>
      </c>
      <c r="Z109" s="38">
        <v>46361787.739145994</v>
      </c>
      <c r="AA109" s="38">
        <v>792003.55656599987</v>
      </c>
    </row>
    <row r="110" spans="1:27">
      <c r="A110" s="31">
        <v>2022</v>
      </c>
      <c r="B110" s="38">
        <v>2308500000</v>
      </c>
      <c r="C110" s="38">
        <v>2726338500</v>
      </c>
      <c r="D110" s="38">
        <v>620217</v>
      </c>
      <c r="E110" s="38">
        <v>4332078712.4399996</v>
      </c>
      <c r="F110" s="38">
        <v>187502526</v>
      </c>
      <c r="G110" s="38">
        <v>931095</v>
      </c>
      <c r="H110" s="38">
        <v>4200361044.309</v>
      </c>
      <c r="I110" s="38">
        <v>858448044</v>
      </c>
      <c r="J110" s="38">
        <v>15841710351</v>
      </c>
      <c r="K110" s="38">
        <v>3249059034.3299999</v>
      </c>
      <c r="L110" s="38">
        <v>1083019678.1099999</v>
      </c>
      <c r="M110" s="38">
        <v>7290007533</v>
      </c>
      <c r="N110" s="38">
        <v>3249059034.3299999</v>
      </c>
      <c r="O110" s="38">
        <v>2166039356.2199998</v>
      </c>
      <c r="P110" s="38">
        <v>789194583</v>
      </c>
      <c r="Q110" s="38">
        <v>1083019678.1099999</v>
      </c>
      <c r="R110" s="38">
        <v>10307540223</v>
      </c>
      <c r="S110" s="38">
        <v>229726530</v>
      </c>
      <c r="T110" s="38">
        <v>130633398</v>
      </c>
      <c r="U110" s="38">
        <v>165025275.56099999</v>
      </c>
      <c r="V110" s="38">
        <v>2166039356.2199998</v>
      </c>
      <c r="W110" s="38">
        <v>39119851.772999994</v>
      </c>
      <c r="X110" s="38">
        <v>4045730.895</v>
      </c>
      <c r="Y110" s="38">
        <v>9021202.4699999988</v>
      </c>
      <c r="Z110" s="38">
        <v>55205410.517999999</v>
      </c>
      <c r="AA110" s="38">
        <v>526895.11800000002</v>
      </c>
    </row>
    <row r="111" spans="1:27">
      <c r="A111" s="31">
        <v>2023</v>
      </c>
      <c r="B111" s="38">
        <v>1407432980</v>
      </c>
      <c r="C111" s="38">
        <v>703716490</v>
      </c>
      <c r="D111" s="38">
        <v>422000</v>
      </c>
      <c r="E111" s="38">
        <v>2814865960</v>
      </c>
      <c r="F111" s="38">
        <v>4222298940</v>
      </c>
      <c r="G111" s="38">
        <v>634600</v>
      </c>
      <c r="H111" s="38">
        <v>3666073536</v>
      </c>
      <c r="I111" s="38">
        <v>1717747000</v>
      </c>
      <c r="J111" s="38">
        <v>9595353000</v>
      </c>
      <c r="K111" s="38">
        <v>2111149470</v>
      </c>
      <c r="L111" s="38">
        <v>703716490</v>
      </c>
      <c r="M111" s="38">
        <v>5550230000</v>
      </c>
      <c r="N111" s="38">
        <v>2111149470</v>
      </c>
      <c r="O111" s="38">
        <v>1407432980</v>
      </c>
      <c r="P111" s="38">
        <v>870475000</v>
      </c>
      <c r="Q111" s="38">
        <v>703716490</v>
      </c>
      <c r="R111" s="38">
        <v>8378605000</v>
      </c>
      <c r="S111" s="38">
        <v>253387000</v>
      </c>
      <c r="T111" s="38">
        <v>144087000</v>
      </c>
      <c r="U111" s="38">
        <v>733042895</v>
      </c>
      <c r="V111" s="38">
        <v>1407432980</v>
      </c>
      <c r="W111" s="38">
        <v>710565843</v>
      </c>
      <c r="X111" s="38">
        <v>705862959</v>
      </c>
      <c r="Y111" s="38">
        <v>4294332</v>
      </c>
      <c r="Z111" s="38">
        <v>66886545</v>
      </c>
      <c r="AA111" s="38">
        <v>315848</v>
      </c>
    </row>
  </sheetData>
  <pageMargins left="0.7" right="0.7" top="0.75" bottom="0.75" header="0.3" footer="0.3"/>
  <pageSetup orientation="portrait"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A9103-EFC2-4DF0-ACDE-7D373CF9CAFC}">
  <dimension ref="A3:U123"/>
  <sheetViews>
    <sheetView topLeftCell="V12" workbookViewId="0">
      <selection activeCell="L38" sqref="L38"/>
    </sheetView>
  </sheetViews>
  <sheetFormatPr defaultRowHeight="14.5"/>
  <cols>
    <col min="1" max="1" width="23.6328125" bestFit="1" customWidth="1"/>
    <col min="2" max="2" width="17.54296875" bestFit="1" customWidth="1"/>
    <col min="3" max="3" width="8.81640625" bestFit="1" customWidth="1"/>
    <col min="4" max="4" width="10.7265625" bestFit="1" customWidth="1"/>
    <col min="5" max="5" width="11.81640625" bestFit="1" customWidth="1"/>
    <col min="6" max="6" width="12.90625" bestFit="1" customWidth="1"/>
    <col min="11" max="11" width="12.36328125" bestFit="1" customWidth="1"/>
    <col min="12" max="13" width="18.81640625" bestFit="1" customWidth="1"/>
    <col min="16" max="16" width="12.36328125" bestFit="1" customWidth="1"/>
    <col min="17" max="17" width="18.81640625" bestFit="1" customWidth="1"/>
    <col min="18" max="18" width="10.26953125" bestFit="1" customWidth="1"/>
    <col min="20" max="20" width="10.453125" bestFit="1" customWidth="1"/>
  </cols>
  <sheetData>
    <row r="3" spans="1:21">
      <c r="A3" s="30" t="s">
        <v>172</v>
      </c>
      <c r="B3" s="30" t="s">
        <v>177</v>
      </c>
      <c r="C3" s="30" t="s">
        <v>187</v>
      </c>
      <c r="D3" s="30" t="s">
        <v>188</v>
      </c>
    </row>
    <row r="4" spans="1:21">
      <c r="A4" s="31" t="s">
        <v>48</v>
      </c>
      <c r="B4" s="39">
        <v>65137032336.052933</v>
      </c>
      <c r="C4" s="29">
        <v>0.26901463698496153</v>
      </c>
      <c r="D4" s="29">
        <v>0.26901463698496153</v>
      </c>
    </row>
    <row r="5" spans="1:21">
      <c r="A5" s="31" t="s">
        <v>66</v>
      </c>
      <c r="B5" s="39">
        <v>31269676228.702103</v>
      </c>
      <c r="C5" s="29">
        <v>0.12914313559608684</v>
      </c>
      <c r="D5" s="29">
        <v>0.3981577725810484</v>
      </c>
    </row>
    <row r="6" spans="1:21">
      <c r="A6" s="31" t="s">
        <v>102</v>
      </c>
      <c r="B6" s="39">
        <v>29990450590.222443</v>
      </c>
      <c r="C6" s="29">
        <v>0.12385995936874455</v>
      </c>
      <c r="D6" s="29">
        <v>0.52201773194979295</v>
      </c>
      <c r="K6" s="30" t="s">
        <v>172</v>
      </c>
      <c r="L6" t="s">
        <v>177</v>
      </c>
      <c r="M6" s="44" t="s">
        <v>177</v>
      </c>
      <c r="P6" s="30" t="s">
        <v>172</v>
      </c>
      <c r="Q6" s="30" t="s">
        <v>177</v>
      </c>
      <c r="R6" s="46" t="s">
        <v>197</v>
      </c>
    </row>
    <row r="7" spans="1:21">
      <c r="A7" s="31" t="s">
        <v>68</v>
      </c>
      <c r="B7" s="39">
        <v>23538265553.328922</v>
      </c>
      <c r="C7" s="29">
        <v>9.721256458869415E-2</v>
      </c>
      <c r="D7" s="29">
        <v>0.61923029653848705</v>
      </c>
      <c r="K7" s="31" t="s">
        <v>47</v>
      </c>
      <c r="L7" s="29">
        <v>0.23453784106933701</v>
      </c>
      <c r="M7" s="45">
        <f>GETPIVOTDATA("Real 2023 TRY",$K$6,"Instrument_Code","TUR_TE_12")</f>
        <v>0.23453784106933701</v>
      </c>
      <c r="P7" s="31" t="s">
        <v>47</v>
      </c>
      <c r="Q7" s="43">
        <v>0.23453784106933701</v>
      </c>
      <c r="R7" s="47">
        <f>GETPIVOTDATA("Real 2023 TRY",$K$6,"Instrument_Code","TUR_TE_12")</f>
        <v>0.23453784106933701</v>
      </c>
    </row>
    <row r="8" spans="1:21">
      <c r="A8" s="31" t="s">
        <v>106</v>
      </c>
      <c r="B8" s="39">
        <v>21492254040.996338</v>
      </c>
      <c r="C8" s="29">
        <v>8.8762578083052324E-2</v>
      </c>
      <c r="D8" s="29">
        <v>0.70799287462153948</v>
      </c>
      <c r="K8" s="31" t="s">
        <v>65</v>
      </c>
      <c r="L8" s="29">
        <v>0.11259220892625284</v>
      </c>
      <c r="M8" s="29">
        <f>M7+GETPIVOTDATA("Real 2023 TRY",$K$6,"Instrument_Code","TUR_TE_04")</f>
        <v>0.34713004999558983</v>
      </c>
      <c r="P8" s="31" t="s">
        <v>65</v>
      </c>
      <c r="Q8" s="43">
        <v>0.11259220892625284</v>
      </c>
      <c r="R8" s="43">
        <f>R7+GETPIVOTDATA("Real 2023 TRY",$K$6,"Instrument_Code","TUR_TE_04")</f>
        <v>0.34713004999558983</v>
      </c>
      <c r="T8" t="s">
        <v>172</v>
      </c>
      <c r="U8" t="s">
        <v>177</v>
      </c>
    </row>
    <row r="9" spans="1:21">
      <c r="A9" s="31" t="s">
        <v>97</v>
      </c>
      <c r="B9" s="39">
        <v>17653699164.996696</v>
      </c>
      <c r="C9" s="29">
        <v>7.290942344152064E-2</v>
      </c>
      <c r="D9" s="29">
        <v>0.78090229806306011</v>
      </c>
      <c r="K9" s="31" t="s">
        <v>101</v>
      </c>
      <c r="L9" s="29">
        <v>0.10798612220830606</v>
      </c>
      <c r="M9" s="29">
        <f>M8+GETPIVOTDATA("Real 2023 TRY",$K$6,"Instrument_Code","TUR_TE_07")</f>
        <v>0.45511617220389589</v>
      </c>
      <c r="P9" s="31" t="s">
        <v>101</v>
      </c>
      <c r="Q9" s="43">
        <v>0.10798612220830606</v>
      </c>
      <c r="R9" s="43">
        <f>R8+GETPIVOTDATA("Real 2023 TRY",$K$6,"Instrument_Code","TUR_TE_07")</f>
        <v>0.45511617220389589</v>
      </c>
      <c r="T9" t="s">
        <v>47</v>
      </c>
      <c r="U9">
        <v>0.23453784106933701</v>
      </c>
    </row>
    <row r="10" spans="1:21">
      <c r="A10" s="31" t="s">
        <v>39</v>
      </c>
      <c r="B10" s="39">
        <v>17653699164.996696</v>
      </c>
      <c r="C10" s="29">
        <v>7.290942344152064E-2</v>
      </c>
      <c r="D10" s="29">
        <v>0.85381172150458073</v>
      </c>
      <c r="K10" s="31" t="s">
        <v>67</v>
      </c>
      <c r="L10" s="29">
        <v>8.4753845660525795E-2</v>
      </c>
      <c r="M10" s="29">
        <f>M9+GETPIVOTDATA("Real 2023 TRY",$K$6,"Instrument_Code","TUR_DT_05")</f>
        <v>0.53987001786442168</v>
      </c>
      <c r="P10" s="31" t="s">
        <v>67</v>
      </c>
      <c r="Q10" s="43">
        <v>8.4753845660525795E-2</v>
      </c>
      <c r="R10" s="43">
        <f>R9+GETPIVOTDATA("Real 2023 TRY",$K$6,"Instrument_Code","TUR_DT_05")</f>
        <v>0.53987001786442168</v>
      </c>
      <c r="T10" t="s">
        <v>65</v>
      </c>
      <c r="U10">
        <v>0.11259220892625284</v>
      </c>
    </row>
    <row r="11" spans="1:21">
      <c r="A11" s="31" t="s">
        <v>79</v>
      </c>
      <c r="B11" s="39">
        <v>12450622897.999998</v>
      </c>
      <c r="C11" s="29">
        <v>5.1420822825670058E-2</v>
      </c>
      <c r="D11" s="29">
        <v>0.9052325443302508</v>
      </c>
      <c r="K11" s="31" t="s">
        <v>105</v>
      </c>
      <c r="L11" s="29">
        <v>7.7386805657386287E-2</v>
      </c>
      <c r="M11" s="29">
        <f>M10+GETPIVOTDATA("Real 2023 TRY",$K$6,"Instrument_Code","TUR_DT_09")</f>
        <v>0.617256823521808</v>
      </c>
      <c r="P11" s="31" t="s">
        <v>105</v>
      </c>
      <c r="Q11" s="43">
        <v>7.7386805657386287E-2</v>
      </c>
      <c r="R11" s="43">
        <f>R10+GETPIVOTDATA("Real 2023 TRY",$K$6,"Instrument_Code","TUR_DT_09")</f>
        <v>0.617256823521808</v>
      </c>
      <c r="T11" t="s">
        <v>101</v>
      </c>
      <c r="U11">
        <v>0.10798612220830606</v>
      </c>
    </row>
    <row r="12" spans="1:21">
      <c r="A12" s="31" t="s">
        <v>52</v>
      </c>
      <c r="B12" s="39">
        <v>11769132776.664461</v>
      </c>
      <c r="C12" s="29">
        <v>4.8606282294347075E-2</v>
      </c>
      <c r="D12" s="29">
        <v>0.95383882662459785</v>
      </c>
      <c r="K12" s="31" t="s">
        <v>96</v>
      </c>
      <c r="L12" s="29">
        <v>6.356538424539436E-2</v>
      </c>
      <c r="M12" s="29">
        <f>M11+GETPIVOTDATA("Real 2023 TRY",$K$6,"Instrument_Code","TUR_TE_08")</f>
        <v>0.68082220776720237</v>
      </c>
      <c r="P12" s="31" t="s">
        <v>96</v>
      </c>
      <c r="Q12" s="43">
        <v>6.356538424539436E-2</v>
      </c>
      <c r="R12" s="43">
        <f>R11+GETPIVOTDATA("Real 2023 TRY",$K$6,"Instrument_Code","TUR_TE_08")</f>
        <v>0.68082220776720237</v>
      </c>
      <c r="T12" t="s">
        <v>67</v>
      </c>
      <c r="U12">
        <v>8.4753845660525795E-2</v>
      </c>
    </row>
    <row r="13" spans="1:21">
      <c r="A13" s="31" t="s">
        <v>60</v>
      </c>
      <c r="B13" s="39">
        <v>11177093843.379999</v>
      </c>
      <c r="C13" s="29">
        <v>4.6161173375402209E-2</v>
      </c>
      <c r="D13" s="29">
        <v>1.0000000000000002</v>
      </c>
      <c r="K13" s="31" t="s">
        <v>38</v>
      </c>
      <c r="L13" s="29">
        <v>6.356538424539436E-2</v>
      </c>
      <c r="M13" s="29">
        <f>M12+GETPIVOTDATA("Real 2023 TRY",$K$6,"Instrument_Code","TUR_TE_05")</f>
        <v>0.74438759201259674</v>
      </c>
      <c r="P13" s="31" t="s">
        <v>38</v>
      </c>
      <c r="Q13" s="43">
        <v>6.356538424539436E-2</v>
      </c>
      <c r="R13" s="43">
        <f>R12+GETPIVOTDATA("Real 2023 TRY",$K$6,"Instrument_Code","TUR_TE_05")</f>
        <v>0.74438759201259674</v>
      </c>
      <c r="T13" t="s">
        <v>105</v>
      </c>
      <c r="U13">
        <v>7.7386805657386287E-2</v>
      </c>
    </row>
    <row r="14" spans="1:21">
      <c r="A14" s="31" t="s">
        <v>174</v>
      </c>
      <c r="B14" s="39">
        <v>242131926597.34058</v>
      </c>
      <c r="C14" s="29">
        <v>1</v>
      </c>
      <c r="D14" s="29"/>
      <c r="K14" s="31" t="s">
        <v>78</v>
      </c>
      <c r="L14" s="29">
        <v>4.4830753102165687E-2</v>
      </c>
      <c r="M14" s="29">
        <f>M13+GETPIVOTDATA("Real 2023 TRY",$K$6,"Instrument_Code","TUR_DT_01")</f>
        <v>0.78921834511476241</v>
      </c>
      <c r="P14" s="31" t="s">
        <v>78</v>
      </c>
      <c r="Q14" s="43">
        <v>4.4830753102165687E-2</v>
      </c>
      <c r="R14" s="43">
        <f>R13+GETPIVOTDATA("Real 2023 TRY",$K$6,"Instrument_Code","TUR_DT_01")</f>
        <v>0.78921834511476241</v>
      </c>
      <c r="T14" t="s">
        <v>96</v>
      </c>
      <c r="U14">
        <v>6.356538424539436E-2</v>
      </c>
    </row>
    <row r="15" spans="1:21">
      <c r="K15" s="31" t="s">
        <v>51</v>
      </c>
      <c r="L15" s="29">
        <v>4.2376922830262898E-2</v>
      </c>
      <c r="M15" s="29">
        <f>M14+GETPIVOTDATA("Real 2023 TRY",$K$6,"Instrument_Code","TUR_TE_09")</f>
        <v>0.83159526794502536</v>
      </c>
      <c r="P15" s="31" t="s">
        <v>51</v>
      </c>
      <c r="Q15" s="43">
        <v>4.2376922830262898E-2</v>
      </c>
      <c r="R15" s="43">
        <f>R14+GETPIVOTDATA("Real 2023 TRY",$K$6,"Instrument_Code","TUR_TE_09")</f>
        <v>0.83159526794502536</v>
      </c>
      <c r="T15" t="s">
        <v>38</v>
      </c>
      <c r="U15">
        <v>6.356538424539436E-2</v>
      </c>
    </row>
    <row r="16" spans="1:21">
      <c r="K16" s="31" t="s">
        <v>59</v>
      </c>
      <c r="L16" s="29">
        <v>4.0245177980034665E-2</v>
      </c>
      <c r="M16" s="29">
        <f>M15+GETPIVOTDATA("Real 2023 TRY",$K$6,"Instrument_Code","TUR_DT_02")</f>
        <v>0.87184044592506005</v>
      </c>
      <c r="P16" s="31" t="s">
        <v>59</v>
      </c>
      <c r="Q16" s="43">
        <v>4.0245177980034665E-2</v>
      </c>
      <c r="R16" s="43">
        <f>R15+GETPIVOTDATA("Real 2023 TRY",$K$6,"Instrument_Code","TUR_DT_02")</f>
        <v>0.87184044592506005</v>
      </c>
      <c r="T16" t="s">
        <v>78</v>
      </c>
      <c r="U16">
        <v>4.4830753102165687E-2</v>
      </c>
    </row>
    <row r="17" spans="11:21">
      <c r="K17" s="31" t="s">
        <v>69</v>
      </c>
      <c r="L17" s="29">
        <v>2.1188461415131449E-2</v>
      </c>
      <c r="M17" s="29">
        <f>M16+GETPIVOTDATA("Real 2023 TRY",$K$6,"Instrument_Code","TUR_TE_11")</f>
        <v>0.89302890734019147</v>
      </c>
      <c r="P17" s="31" t="s">
        <v>69</v>
      </c>
      <c r="Q17" s="43">
        <v>2.1188461415131449E-2</v>
      </c>
      <c r="R17" s="43">
        <f>R16+GETPIVOTDATA("Real 2023 TRY",$K$6,"Instrument_Code","TUR_TE_11")</f>
        <v>0.89302890734019147</v>
      </c>
      <c r="T17" t="s">
        <v>51</v>
      </c>
      <c r="U17">
        <v>4.2376922830262898E-2</v>
      </c>
    </row>
    <row r="18" spans="11:21">
      <c r="K18" s="31" t="s">
        <v>85</v>
      </c>
      <c r="L18" s="29">
        <v>2.1188461415131449E-2</v>
      </c>
      <c r="M18" s="29">
        <f>M17+GETPIVOTDATA("Real 2023 TRY",$K$6,"Instrument_Code","TUR_TE_06")</f>
        <v>0.91421736875532289</v>
      </c>
      <c r="P18" s="31" t="s">
        <v>85</v>
      </c>
      <c r="Q18" s="43">
        <v>2.1188461415131449E-2</v>
      </c>
      <c r="R18" s="43">
        <f>R17+GETPIVOTDATA("Real 2023 TRY",$K$6,"Instrument_Code","TUR_TE_06")</f>
        <v>0.91421736875532289</v>
      </c>
      <c r="T18" t="s">
        <v>59</v>
      </c>
      <c r="U18">
        <v>4.0245177980034665E-2</v>
      </c>
    </row>
    <row r="19" spans="11:21">
      <c r="K19" s="31" t="s">
        <v>56</v>
      </c>
      <c r="L19" s="29">
        <v>1.8289223982998967E-2</v>
      </c>
      <c r="M19" s="29">
        <f>M18+GETPIVOTDATA("Real 2023 TRY",$K$6,"Instrument_Code","TUR_DT_07")</f>
        <v>0.93250659273832182</v>
      </c>
      <c r="P19" s="31" t="s">
        <v>56</v>
      </c>
      <c r="Q19" s="43">
        <v>1.8289223982998967E-2</v>
      </c>
      <c r="R19" s="43">
        <f>R18+GETPIVOTDATA("Real 2023 TRY",$K$6,"Instrument_Code","TUR_DT_07")</f>
        <v>0.93250659273832182</v>
      </c>
      <c r="T19" t="s">
        <v>69</v>
      </c>
      <c r="U19">
        <v>2.1188461415131449E-2</v>
      </c>
    </row>
    <row r="20" spans="11:21">
      <c r="K20" s="31" t="s">
        <v>44</v>
      </c>
      <c r="L20" s="29">
        <v>1.8112922410260929E-2</v>
      </c>
      <c r="M20" s="29">
        <f>M19+GETPIVOTDATA("Real 2023 TRY",$K$6,"Instrument_Code","TUR_TE_02")</f>
        <v>0.95061951514858278</v>
      </c>
      <c r="P20" s="31" t="s">
        <v>44</v>
      </c>
      <c r="Q20" s="43">
        <v>1.8112922410260929E-2</v>
      </c>
      <c r="R20" s="43">
        <f>R19+GETPIVOTDATA("Real 2023 TRY",$K$6,"Instrument_Code","TUR_TE_02")</f>
        <v>0.95061951514858278</v>
      </c>
      <c r="T20" t="s">
        <v>85</v>
      </c>
      <c r="U20">
        <v>2.1188461415131449E-2</v>
      </c>
    </row>
    <row r="21" spans="11:21">
      <c r="K21" s="31" t="s">
        <v>122</v>
      </c>
      <c r="L21" s="29">
        <v>1.75829457804891E-2</v>
      </c>
      <c r="M21" s="29">
        <f>M20+GETPIVOTDATA("Real 2023 TRY",$K$6,"Instrument_Code","TUR_TE_10")</f>
        <v>0.96820246092907192</v>
      </c>
      <c r="P21" s="31" t="s">
        <v>122</v>
      </c>
      <c r="Q21" s="43">
        <v>1.75829457804891E-2</v>
      </c>
      <c r="R21" s="43">
        <f>R20+GETPIVOTDATA("Real 2023 TRY",$K$6,"Instrument_Code","TUR_TE_10")</f>
        <v>0.96820246092907192</v>
      </c>
      <c r="T21" t="s">
        <v>56</v>
      </c>
      <c r="U21">
        <v>1.8289223982998967E-2</v>
      </c>
    </row>
    <row r="22" spans="11:21">
      <c r="K22" s="31" t="s">
        <v>114</v>
      </c>
      <c r="L22" s="29">
        <v>1.2876571366816815E-2</v>
      </c>
      <c r="M22" s="29">
        <f>M21+GETPIVOTDATA("Real 2023 TRY",$K$6,"Instrument_Code","TUR_TE_16")</f>
        <v>0.98107903229588878</v>
      </c>
      <c r="P22" s="31" t="s">
        <v>114</v>
      </c>
      <c r="Q22" s="43">
        <v>1.2876571366816815E-2</v>
      </c>
      <c r="R22" s="43">
        <f>R21+GETPIVOTDATA("Real 2023 TRY",$K$6,"Instrument_Code","TUR_TE_16")</f>
        <v>0.98107903229588878</v>
      </c>
      <c r="T22" t="s">
        <v>44</v>
      </c>
      <c r="U22">
        <v>1.8112922410260929E-2</v>
      </c>
    </row>
    <row r="23" spans="11:21">
      <c r="K23" s="31" t="s">
        <v>71</v>
      </c>
      <c r="L23" s="29">
        <v>6.1249304206415847E-3</v>
      </c>
      <c r="M23" s="29">
        <f>M22+GETPIVOTDATA("Real 2023 TRY",$K$6,"Instrument_Code","TUR_TE_15")</f>
        <v>0.98720396271653033</v>
      </c>
      <c r="P23" s="31" t="s">
        <v>71</v>
      </c>
      <c r="Q23" s="43">
        <v>6.1249304206415847E-3</v>
      </c>
      <c r="R23" s="43">
        <f>R22+GETPIVOTDATA("Real 2023 TRY",$K$6,"Instrument_Code","TUR_TE_15")</f>
        <v>0.98720396271653033</v>
      </c>
      <c r="T23" t="s">
        <v>122</v>
      </c>
      <c r="U23">
        <v>1.75829457804891E-2</v>
      </c>
    </row>
    <row r="24" spans="11:21">
      <c r="K24" s="31" t="s">
        <v>117</v>
      </c>
      <c r="L24" s="29">
        <v>4.2058935897939746E-3</v>
      </c>
      <c r="M24" s="29">
        <f>M23+GETPIVOTDATA("Real 2023 TRY",$K$6,"Instrument_Code","TUR_TE_13")</f>
        <v>0.99140985630632428</v>
      </c>
      <c r="P24" s="31" t="s">
        <v>117</v>
      </c>
      <c r="Q24" s="43">
        <v>4.2058935897939746E-3</v>
      </c>
      <c r="R24" s="43">
        <f>R23+GETPIVOTDATA("Real 2023 TRY",$K$6,"Instrument_Code","TUR_TE_13")</f>
        <v>0.99140985630632428</v>
      </c>
      <c r="T24" t="s">
        <v>114</v>
      </c>
      <c r="U24">
        <v>1.2876571366816815E-2</v>
      </c>
    </row>
    <row r="25" spans="11:21">
      <c r="K25" s="31" t="s">
        <v>19</v>
      </c>
      <c r="L25" s="29">
        <v>3.3461728364415511E-3</v>
      </c>
      <c r="M25" s="29">
        <f>M24+GETPIVOTDATA("Real 2023 TRY",$K$6,"Instrument_Code","TUR_TE_17")</f>
        <v>0.99475602914276584</v>
      </c>
      <c r="P25" s="31" t="s">
        <v>19</v>
      </c>
      <c r="Q25" s="43">
        <v>3.3461728364415511E-3</v>
      </c>
      <c r="R25" s="43">
        <f>R24+GETPIVOTDATA("Real 2023 TRY",$K$6,"Instrument_Code","TUR_TE_17")</f>
        <v>0.99475602914276584</v>
      </c>
      <c r="T25" t="s">
        <v>71</v>
      </c>
      <c r="U25">
        <v>6.1249304206415847E-3</v>
      </c>
    </row>
    <row r="26" spans="11:21">
      <c r="K26" s="31" t="s">
        <v>42</v>
      </c>
      <c r="L26" s="29">
        <v>2.5641168879772E-3</v>
      </c>
      <c r="M26" s="29">
        <f>M25+GETPIVOTDATA("Real 2023 TRY",$K$6,"Instrument_Code","TUR_TE_18")</f>
        <v>0.99732014603074304</v>
      </c>
      <c r="P26" s="31" t="s">
        <v>42</v>
      </c>
      <c r="Q26" s="43">
        <v>2.5641168879772E-3</v>
      </c>
      <c r="R26" s="43">
        <f>R25+GETPIVOTDATA("Real 2023 TRY",$K$6,"Instrument_Code","TUR_TE_18")</f>
        <v>0.99732014603074304</v>
      </c>
      <c r="T26" t="s">
        <v>117</v>
      </c>
      <c r="U26">
        <v>4.2058935897939746E-3</v>
      </c>
    </row>
    <row r="27" spans="11:21">
      <c r="K27" s="31" t="s">
        <v>91</v>
      </c>
      <c r="L27" s="29">
        <v>1.7831773043235455E-3</v>
      </c>
      <c r="M27" s="29">
        <f>M26+GETPIVOTDATA("Real 2023 TRY",$K$6,"Instrument_Code","TUR_TE_14")</f>
        <v>0.99910332333506657</v>
      </c>
      <c r="P27" s="31" t="s">
        <v>91</v>
      </c>
      <c r="Q27" s="43">
        <v>1.7831773043235455E-3</v>
      </c>
      <c r="R27" s="43">
        <f>R26+GETPIVOTDATA("Real 2023 TRY",$K$6,"Instrument_Code","TUR_TE_14")</f>
        <v>0.99910332333506657</v>
      </c>
      <c r="T27" t="s">
        <v>19</v>
      </c>
      <c r="U27">
        <v>3.3461728364415511E-3</v>
      </c>
    </row>
    <row r="28" spans="11:21">
      <c r="K28" s="31" t="s">
        <v>98</v>
      </c>
      <c r="L28" s="29">
        <v>7.3537893042521763E-4</v>
      </c>
      <c r="M28" s="29">
        <f>M27+GETPIVOTDATA("Real 2023 TRY",$K$6,"Instrument_Code","TUR_TE_20")</f>
        <v>0.99983870226549176</v>
      </c>
      <c r="P28" s="31" t="s">
        <v>98</v>
      </c>
      <c r="Q28" s="43">
        <v>7.3537893042521763E-4</v>
      </c>
      <c r="R28" s="43">
        <f>R27+GETPIVOTDATA("Real 2023 TRY",$K$6,"Instrument_Code","TUR_TE_20")</f>
        <v>0.99983870226549176</v>
      </c>
      <c r="T28" t="s">
        <v>42</v>
      </c>
      <c r="U28">
        <v>2.5641168879772E-3</v>
      </c>
    </row>
    <row r="29" spans="11:21">
      <c r="K29" s="31" t="s">
        <v>82</v>
      </c>
      <c r="L29" s="29">
        <v>1.2370674841162736E-4</v>
      </c>
      <c r="M29" s="29">
        <f>M28+GETPIVOTDATA("Real 2023 TRY",$K$6,"Instrument_Code","TUR_TE_19")</f>
        <v>0.99996240901390343</v>
      </c>
      <c r="P29" s="31" t="s">
        <v>82</v>
      </c>
      <c r="Q29" s="43">
        <v>1.2370674841162736E-4</v>
      </c>
      <c r="R29" s="43">
        <f>R28+GETPIVOTDATA("Real 2023 TRY",$K$6,"Instrument_Code","TUR_TE_19")</f>
        <v>0.99996240901390343</v>
      </c>
      <c r="T29" t="s">
        <v>91</v>
      </c>
      <c r="U29">
        <v>1.7831773043235455E-3</v>
      </c>
    </row>
    <row r="30" spans="11:21">
      <c r="K30" s="31" t="s">
        <v>87</v>
      </c>
      <c r="L30" s="29">
        <v>1.7280698179934772E-5</v>
      </c>
      <c r="M30" s="29">
        <f>M29+GETPIVOTDATA("Real 2023 TRY",$K$6,"Instrument_Code","TUR_DT_08")</f>
        <v>0.9999796897120834</v>
      </c>
      <c r="P30" s="31" t="s">
        <v>87</v>
      </c>
      <c r="Q30" s="43">
        <v>1.7280698179934772E-5</v>
      </c>
      <c r="R30" s="43">
        <f>R29+GETPIVOTDATA("Real 2023 TRY",$K$6,"Instrument_Code","TUR_DT_08")</f>
        <v>0.9999796897120834</v>
      </c>
      <c r="T30" t="s">
        <v>98</v>
      </c>
      <c r="U30">
        <v>7.3537893042521763E-4</v>
      </c>
    </row>
    <row r="31" spans="11:21">
      <c r="K31" s="31" t="s">
        <v>28</v>
      </c>
      <c r="L31" s="29">
        <v>1.1323818514159313E-5</v>
      </c>
      <c r="M31" s="29">
        <f>M30+GETPIVOTDATA("Real 2023 TRY",$K$6,"Instrument_Code","TUR_DT_03")</f>
        <v>0.99999101353059761</v>
      </c>
      <c r="P31" s="31" t="s">
        <v>28</v>
      </c>
      <c r="Q31" s="43">
        <v>1.1323818514159313E-5</v>
      </c>
      <c r="R31" s="43">
        <f>R30+GETPIVOTDATA("Real 2023 TRY",$K$6,"Instrument_Code","TUR_DT_03")</f>
        <v>0.99999101353059761</v>
      </c>
      <c r="T31" t="s">
        <v>82</v>
      </c>
      <c r="U31">
        <v>1.2370674841162736E-4</v>
      </c>
    </row>
    <row r="32" spans="11:21">
      <c r="K32" s="31" t="s">
        <v>34</v>
      </c>
      <c r="L32" s="29">
        <v>8.986469402370516E-6</v>
      </c>
      <c r="M32" s="29">
        <f>M31+GETPIVOTDATA("Real 2023 TRY",$K$6,"Instrument_Code","TUR_TE_21")</f>
        <v>1</v>
      </c>
      <c r="P32" s="31" t="s">
        <v>34</v>
      </c>
      <c r="Q32" s="43">
        <v>8.986469402370516E-6</v>
      </c>
      <c r="R32" s="43">
        <f>R31+GETPIVOTDATA("Real 2023 TRY",$K$6,"Instrument_Code","TUR_TE_21")</f>
        <v>1</v>
      </c>
      <c r="T32" t="s">
        <v>87</v>
      </c>
      <c r="U32">
        <v>1.7280698179934772E-5</v>
      </c>
    </row>
    <row r="33" spans="1:21">
      <c r="M33" s="43"/>
      <c r="T33" t="s">
        <v>28</v>
      </c>
      <c r="U33">
        <v>1.1323818514159313E-5</v>
      </c>
    </row>
    <row r="34" spans="1:21">
      <c r="T34" t="s">
        <v>34</v>
      </c>
      <c r="U34">
        <v>8.986469402370516E-6</v>
      </c>
    </row>
    <row r="41" spans="1:21">
      <c r="A41" s="30" t="s">
        <v>177</v>
      </c>
      <c r="B41" s="30" t="s">
        <v>189</v>
      </c>
    </row>
    <row r="42" spans="1:21">
      <c r="A42" s="30" t="s">
        <v>172</v>
      </c>
      <c r="B42" t="s">
        <v>31</v>
      </c>
      <c r="C42" t="s">
        <v>22</v>
      </c>
    </row>
    <row r="43" spans="1:21">
      <c r="A43" s="31" t="s">
        <v>21</v>
      </c>
      <c r="B43" s="39">
        <v>4799282.6701394189</v>
      </c>
      <c r="C43" s="39">
        <v>18123655712.861885</v>
      </c>
    </row>
    <row r="44" spans="1:21">
      <c r="A44" s="31" t="s">
        <v>107</v>
      </c>
      <c r="B44" s="39">
        <v>21492254040.996338</v>
      </c>
      <c r="C44" s="39"/>
    </row>
    <row r="45" spans="1:21">
      <c r="A45" s="31" t="s">
        <v>61</v>
      </c>
      <c r="B45" s="39">
        <v>47165982294.708923</v>
      </c>
      <c r="C45" s="39"/>
    </row>
    <row r="46" spans="1:21">
      <c r="A46" s="31" t="s">
        <v>30</v>
      </c>
      <c r="B46" s="39">
        <v>3144908.0001820754</v>
      </c>
      <c r="C46" s="39">
        <v>60692508170.363258</v>
      </c>
    </row>
    <row r="47" spans="1:21">
      <c r="A47" s="31" t="s">
        <v>40</v>
      </c>
      <c r="B47" s="39"/>
      <c r="C47" s="39">
        <v>130242700039.82054</v>
      </c>
    </row>
    <row r="69" spans="1:5">
      <c r="A69" s="30" t="s">
        <v>177</v>
      </c>
      <c r="B69" t="s">
        <v>189</v>
      </c>
    </row>
    <row r="70" spans="1:5">
      <c r="A70" s="30" t="s">
        <v>172</v>
      </c>
      <c r="B70" s="30">
        <v>2022</v>
      </c>
      <c r="C70" s="30">
        <v>2023</v>
      </c>
      <c r="D70" s="30" t="s">
        <v>174</v>
      </c>
      <c r="E70" s="30"/>
    </row>
    <row r="71" spans="1:5">
      <c r="A71" s="31" t="s">
        <v>78</v>
      </c>
      <c r="B71" s="35">
        <v>2308500000</v>
      </c>
      <c r="C71" s="35">
        <v>1407432980</v>
      </c>
      <c r="D71" s="35">
        <v>3715932980</v>
      </c>
      <c r="E71">
        <f>C70-B70</f>
        <v>1</v>
      </c>
    </row>
    <row r="72" spans="1:5">
      <c r="A72" s="32" t="s">
        <v>79</v>
      </c>
      <c r="B72" s="35">
        <v>2308500000</v>
      </c>
      <c r="C72" s="35">
        <v>1407432980</v>
      </c>
      <c r="D72" s="35">
        <v>3715932980</v>
      </c>
      <c r="E72">
        <f t="shared" ref="E72:E123" si="0">C71-B71</f>
        <v>-901067020</v>
      </c>
    </row>
    <row r="73" spans="1:5">
      <c r="A73" s="31" t="s">
        <v>59</v>
      </c>
      <c r="B73" s="35">
        <v>2726338500</v>
      </c>
      <c r="C73" s="35">
        <v>703716490</v>
      </c>
      <c r="D73" s="35">
        <v>3430054990</v>
      </c>
      <c r="E73">
        <f t="shared" si="0"/>
        <v>-901067020</v>
      </c>
    </row>
    <row r="74" spans="1:5">
      <c r="A74" s="32" t="s">
        <v>60</v>
      </c>
      <c r="B74" s="35">
        <v>2726338500</v>
      </c>
      <c r="C74" s="35">
        <v>703716490</v>
      </c>
      <c r="D74" s="35">
        <v>3430054990</v>
      </c>
      <c r="E74">
        <f t="shared" si="0"/>
        <v>-2022622010</v>
      </c>
    </row>
    <row r="75" spans="1:5">
      <c r="A75" s="31" t="s">
        <v>28</v>
      </c>
      <c r="B75" s="35">
        <v>620217</v>
      </c>
      <c r="C75" s="35">
        <v>422000</v>
      </c>
      <c r="D75" s="35">
        <v>1042217</v>
      </c>
      <c r="E75">
        <f t="shared" si="0"/>
        <v>-2022622010</v>
      </c>
    </row>
    <row r="76" spans="1:5">
      <c r="A76" s="32" t="s">
        <v>29</v>
      </c>
      <c r="B76" s="35">
        <v>620217</v>
      </c>
      <c r="C76" s="35">
        <v>422000</v>
      </c>
      <c r="D76" s="35">
        <v>1042217</v>
      </c>
      <c r="E76">
        <f t="shared" si="0"/>
        <v>-198217</v>
      </c>
    </row>
    <row r="77" spans="1:5">
      <c r="A77" s="31" t="s">
        <v>67</v>
      </c>
      <c r="B77" s="35">
        <v>4332078712.4399996</v>
      </c>
      <c r="C77" s="35">
        <v>2814865960</v>
      </c>
      <c r="D77" s="35">
        <v>7146944672.4399996</v>
      </c>
      <c r="E77">
        <f t="shared" si="0"/>
        <v>-198217</v>
      </c>
    </row>
    <row r="78" spans="1:5">
      <c r="A78" s="32" t="s">
        <v>68</v>
      </c>
      <c r="B78" s="35">
        <v>4332078712.4399996</v>
      </c>
      <c r="C78" s="35">
        <v>2814865960</v>
      </c>
      <c r="D78" s="35">
        <v>7146944672.4399996</v>
      </c>
      <c r="E78">
        <f t="shared" si="0"/>
        <v>-1517212752.4399996</v>
      </c>
    </row>
    <row r="79" spans="1:5">
      <c r="A79" s="31" t="s">
        <v>56</v>
      </c>
      <c r="B79" s="35">
        <v>187502526</v>
      </c>
      <c r="C79" s="35">
        <v>4222298940</v>
      </c>
      <c r="D79" s="35">
        <v>4409801466</v>
      </c>
      <c r="E79">
        <f t="shared" si="0"/>
        <v>-1517212752.4399996</v>
      </c>
    </row>
    <row r="80" spans="1:5">
      <c r="A80" s="32" t="s">
        <v>57</v>
      </c>
      <c r="B80" s="35">
        <v>187502526</v>
      </c>
      <c r="C80" s="35">
        <v>4222298940</v>
      </c>
      <c r="D80" s="35">
        <v>4409801466</v>
      </c>
      <c r="E80">
        <f t="shared" si="0"/>
        <v>4034796414</v>
      </c>
    </row>
    <row r="81" spans="1:5">
      <c r="A81" s="31" t="s">
        <v>87</v>
      </c>
      <c r="B81" s="35">
        <v>931095</v>
      </c>
      <c r="C81" s="35">
        <v>634600</v>
      </c>
      <c r="D81" s="35">
        <v>1565695</v>
      </c>
      <c r="E81">
        <f t="shared" si="0"/>
        <v>4034796414</v>
      </c>
    </row>
    <row r="82" spans="1:5">
      <c r="A82" s="32" t="s">
        <v>88</v>
      </c>
      <c r="B82" s="35">
        <v>931095</v>
      </c>
      <c r="C82" s="35">
        <v>634600</v>
      </c>
      <c r="D82" s="35">
        <v>1565695</v>
      </c>
      <c r="E82">
        <f t="shared" si="0"/>
        <v>-296495</v>
      </c>
    </row>
    <row r="83" spans="1:5">
      <c r="A83" s="31" t="s">
        <v>105</v>
      </c>
      <c r="B83" s="35">
        <v>4200361044.309</v>
      </c>
      <c r="C83" s="35">
        <v>3666073536</v>
      </c>
      <c r="D83" s="35">
        <v>7866434580.309</v>
      </c>
      <c r="E83">
        <f t="shared" si="0"/>
        <v>-296495</v>
      </c>
    </row>
    <row r="84" spans="1:5">
      <c r="A84" s="32" t="s">
        <v>106</v>
      </c>
      <c r="B84" s="35">
        <v>4200361044.309</v>
      </c>
      <c r="C84" s="35">
        <v>3666073536</v>
      </c>
      <c r="D84" s="35">
        <v>7866434580.309</v>
      </c>
      <c r="E84">
        <f t="shared" si="0"/>
        <v>-534287508.30900002</v>
      </c>
    </row>
    <row r="85" spans="1:5">
      <c r="A85" s="31" t="s">
        <v>44</v>
      </c>
      <c r="B85" s="35">
        <v>858448044</v>
      </c>
      <c r="C85" s="35">
        <v>1717747000</v>
      </c>
      <c r="D85" s="35">
        <v>2576195044</v>
      </c>
      <c r="E85">
        <f t="shared" si="0"/>
        <v>-534287508.30900002</v>
      </c>
    </row>
    <row r="86" spans="1:5">
      <c r="A86" s="32" t="s">
        <v>45</v>
      </c>
      <c r="B86" s="35">
        <v>858448044</v>
      </c>
      <c r="C86" s="35">
        <v>1717747000</v>
      </c>
      <c r="D86" s="35">
        <v>2576195044</v>
      </c>
      <c r="E86">
        <f t="shared" si="0"/>
        <v>859298956</v>
      </c>
    </row>
    <row r="87" spans="1:5">
      <c r="A87" s="31" t="s">
        <v>65</v>
      </c>
      <c r="B87" s="35">
        <v>15841710351</v>
      </c>
      <c r="C87" s="35">
        <v>9595353000</v>
      </c>
      <c r="D87" s="35">
        <v>25437063351</v>
      </c>
      <c r="E87">
        <f t="shared" si="0"/>
        <v>859298956</v>
      </c>
    </row>
    <row r="88" spans="1:5">
      <c r="A88" s="32" t="s">
        <v>66</v>
      </c>
      <c r="B88" s="35">
        <v>15841710351</v>
      </c>
      <c r="C88" s="35">
        <v>9595353000</v>
      </c>
      <c r="D88" s="35">
        <v>25437063351</v>
      </c>
      <c r="E88">
        <f t="shared" si="0"/>
        <v>-6246357351</v>
      </c>
    </row>
    <row r="89" spans="1:5">
      <c r="A89" s="31" t="s">
        <v>96</v>
      </c>
      <c r="B89" s="35">
        <v>3249059034.3299999</v>
      </c>
      <c r="C89" s="35">
        <v>2111149470</v>
      </c>
      <c r="D89" s="35">
        <v>5360208504.3299999</v>
      </c>
      <c r="E89">
        <f t="shared" si="0"/>
        <v>-6246357351</v>
      </c>
    </row>
    <row r="90" spans="1:5">
      <c r="A90" s="32" t="s">
        <v>97</v>
      </c>
      <c r="B90" s="35">
        <v>3249059034.3299999</v>
      </c>
      <c r="C90" s="35">
        <v>2111149470</v>
      </c>
      <c r="D90" s="35">
        <v>5360208504.3299999</v>
      </c>
      <c r="E90">
        <f t="shared" si="0"/>
        <v>-1137909564.3299999</v>
      </c>
    </row>
    <row r="91" spans="1:5">
      <c r="A91" s="31" t="s">
        <v>69</v>
      </c>
      <c r="B91" s="35">
        <v>1083019678.1099999</v>
      </c>
      <c r="C91" s="35">
        <v>703716490</v>
      </c>
      <c r="D91" s="35">
        <v>1786736168.1099999</v>
      </c>
      <c r="E91">
        <f t="shared" si="0"/>
        <v>-1137909564.3299999</v>
      </c>
    </row>
    <row r="92" spans="1:5">
      <c r="A92" s="32" t="s">
        <v>70</v>
      </c>
      <c r="B92" s="35">
        <v>1083019678.1099999</v>
      </c>
      <c r="C92" s="35">
        <v>703716490</v>
      </c>
      <c r="D92" s="35">
        <v>1786736168.1099999</v>
      </c>
      <c r="E92">
        <f t="shared" si="0"/>
        <v>-379303188.1099999</v>
      </c>
    </row>
    <row r="93" spans="1:5">
      <c r="A93" s="31" t="s">
        <v>101</v>
      </c>
      <c r="B93" s="35">
        <v>7290007533</v>
      </c>
      <c r="C93" s="35">
        <v>5550230000</v>
      </c>
      <c r="D93" s="35">
        <v>12840237533</v>
      </c>
      <c r="E93">
        <f t="shared" si="0"/>
        <v>-379303188.1099999</v>
      </c>
    </row>
    <row r="94" spans="1:5">
      <c r="A94" s="32" t="s">
        <v>102</v>
      </c>
      <c r="B94" s="35">
        <v>7290007533</v>
      </c>
      <c r="C94" s="35">
        <v>5550230000</v>
      </c>
      <c r="D94" s="35">
        <v>12840237533</v>
      </c>
      <c r="E94">
        <f t="shared" si="0"/>
        <v>-1739777533</v>
      </c>
    </row>
    <row r="95" spans="1:5">
      <c r="A95" s="31" t="s">
        <v>38</v>
      </c>
      <c r="B95" s="35">
        <v>3249059034.3299999</v>
      </c>
      <c r="C95" s="35">
        <v>2111149470</v>
      </c>
      <c r="D95" s="35">
        <v>5360208504.3299999</v>
      </c>
      <c r="E95">
        <f t="shared" si="0"/>
        <v>-1739777533</v>
      </c>
    </row>
    <row r="96" spans="1:5">
      <c r="A96" s="32" t="s">
        <v>39</v>
      </c>
      <c r="B96" s="35">
        <v>3249059034.3299999</v>
      </c>
      <c r="C96" s="35">
        <v>2111149470</v>
      </c>
      <c r="D96" s="35">
        <v>5360208504.3299999</v>
      </c>
      <c r="E96">
        <f t="shared" si="0"/>
        <v>-1137909564.3299999</v>
      </c>
    </row>
    <row r="97" spans="1:5">
      <c r="A97" s="31" t="s">
        <v>51</v>
      </c>
      <c r="B97" s="35">
        <v>2166039356.2199998</v>
      </c>
      <c r="C97" s="35">
        <v>1407432980</v>
      </c>
      <c r="D97" s="35">
        <v>3573472336.2199998</v>
      </c>
      <c r="E97">
        <f t="shared" si="0"/>
        <v>-1137909564.3299999</v>
      </c>
    </row>
    <row r="98" spans="1:5">
      <c r="A98" s="32" t="s">
        <v>52</v>
      </c>
      <c r="B98" s="35">
        <v>2166039356.2199998</v>
      </c>
      <c r="C98" s="35">
        <v>1407432980</v>
      </c>
      <c r="D98" s="35">
        <v>3573472336.2199998</v>
      </c>
      <c r="E98">
        <f t="shared" si="0"/>
        <v>-758606376.21999979</v>
      </c>
    </row>
    <row r="99" spans="1:5">
      <c r="A99" s="31" t="s">
        <v>122</v>
      </c>
      <c r="B99" s="35">
        <v>789194583</v>
      </c>
      <c r="C99" s="35">
        <v>870475000</v>
      </c>
      <c r="D99" s="35">
        <v>1659669583</v>
      </c>
      <c r="E99">
        <f t="shared" si="0"/>
        <v>-758606376.21999979</v>
      </c>
    </row>
    <row r="100" spans="1:5">
      <c r="A100" s="32" t="s">
        <v>123</v>
      </c>
      <c r="B100" s="35">
        <v>789194583</v>
      </c>
      <c r="C100" s="35">
        <v>870475000</v>
      </c>
      <c r="D100" s="35">
        <v>1659669583</v>
      </c>
      <c r="E100">
        <f t="shared" si="0"/>
        <v>81280417</v>
      </c>
    </row>
    <row r="101" spans="1:5">
      <c r="A101" s="31" t="s">
        <v>85</v>
      </c>
      <c r="B101" s="35">
        <v>1083019678.1099999</v>
      </c>
      <c r="C101" s="35">
        <v>703716490</v>
      </c>
      <c r="D101" s="35">
        <v>1786736168.1099999</v>
      </c>
      <c r="E101">
        <f t="shared" si="0"/>
        <v>81280417</v>
      </c>
    </row>
    <row r="102" spans="1:5">
      <c r="A102" s="32" t="s">
        <v>86</v>
      </c>
      <c r="B102" s="35">
        <v>1083019678.1099999</v>
      </c>
      <c r="C102" s="35">
        <v>703716490</v>
      </c>
      <c r="D102" s="35">
        <v>1786736168.1099999</v>
      </c>
      <c r="E102">
        <f t="shared" si="0"/>
        <v>-379303188.1099999</v>
      </c>
    </row>
    <row r="103" spans="1:5">
      <c r="A103" s="31" t="s">
        <v>47</v>
      </c>
      <c r="B103" s="35">
        <v>10307540223</v>
      </c>
      <c r="C103" s="35">
        <v>8378605000</v>
      </c>
      <c r="D103" s="35">
        <v>18686145223</v>
      </c>
      <c r="E103">
        <f t="shared" si="0"/>
        <v>-379303188.1099999</v>
      </c>
    </row>
    <row r="104" spans="1:5">
      <c r="A104" s="32" t="s">
        <v>48</v>
      </c>
      <c r="B104" s="35">
        <v>10307540223</v>
      </c>
      <c r="C104" s="35">
        <v>8378605000</v>
      </c>
      <c r="D104" s="35">
        <v>18686145223</v>
      </c>
      <c r="E104">
        <f t="shared" si="0"/>
        <v>-1928935223</v>
      </c>
    </row>
    <row r="105" spans="1:5">
      <c r="A105" s="31" t="s">
        <v>117</v>
      </c>
      <c r="B105" s="35">
        <v>229726530</v>
      </c>
      <c r="C105" s="35">
        <v>253387000</v>
      </c>
      <c r="D105" s="35">
        <v>483113530</v>
      </c>
      <c r="E105">
        <f t="shared" si="0"/>
        <v>-1928935223</v>
      </c>
    </row>
    <row r="106" spans="1:5">
      <c r="A106" s="32" t="s">
        <v>118</v>
      </c>
      <c r="B106" s="35">
        <v>229726530</v>
      </c>
      <c r="C106" s="35">
        <v>253387000</v>
      </c>
      <c r="D106" s="35">
        <v>483113530</v>
      </c>
      <c r="E106">
        <f t="shared" si="0"/>
        <v>23660470</v>
      </c>
    </row>
    <row r="107" spans="1:5">
      <c r="A107" s="31" t="s">
        <v>91</v>
      </c>
      <c r="B107" s="35">
        <v>130633398</v>
      </c>
      <c r="C107" s="35">
        <v>144087000</v>
      </c>
      <c r="D107" s="35">
        <v>274720398</v>
      </c>
      <c r="E107">
        <f t="shared" si="0"/>
        <v>23660470</v>
      </c>
    </row>
    <row r="108" spans="1:5">
      <c r="A108" s="32" t="s">
        <v>92</v>
      </c>
      <c r="B108" s="35">
        <v>130633398</v>
      </c>
      <c r="C108" s="35">
        <v>144087000</v>
      </c>
      <c r="D108" s="35">
        <v>274720398</v>
      </c>
      <c r="E108">
        <f t="shared" si="0"/>
        <v>13453602</v>
      </c>
    </row>
    <row r="109" spans="1:5">
      <c r="A109" s="31" t="s">
        <v>71</v>
      </c>
      <c r="B109" s="35">
        <v>165025275.56099999</v>
      </c>
      <c r="C109" s="35">
        <v>733042895</v>
      </c>
      <c r="D109" s="35">
        <v>898068170.56099999</v>
      </c>
      <c r="E109">
        <f t="shared" si="0"/>
        <v>13453602</v>
      </c>
    </row>
    <row r="110" spans="1:5">
      <c r="A110" s="32" t="s">
        <v>72</v>
      </c>
      <c r="B110" s="35">
        <v>165025275.56099999</v>
      </c>
      <c r="C110" s="35">
        <v>733042895</v>
      </c>
      <c r="D110" s="35">
        <v>898068170.56099999</v>
      </c>
      <c r="E110">
        <f t="shared" si="0"/>
        <v>568017619.43900001</v>
      </c>
    </row>
    <row r="111" spans="1:5">
      <c r="A111" s="31" t="s">
        <v>114</v>
      </c>
      <c r="B111" s="35">
        <v>2166039356.2199998</v>
      </c>
      <c r="C111" s="35">
        <v>1407432980</v>
      </c>
      <c r="D111" s="35">
        <v>3573472336.2199998</v>
      </c>
      <c r="E111">
        <f t="shared" si="0"/>
        <v>568017619.43900001</v>
      </c>
    </row>
    <row r="112" spans="1:5">
      <c r="A112" s="32" t="s">
        <v>115</v>
      </c>
      <c r="B112" s="35">
        <v>2166039356.2199998</v>
      </c>
      <c r="C112" s="35">
        <v>1407432980</v>
      </c>
      <c r="D112" s="35">
        <v>3573472336.2199998</v>
      </c>
      <c r="E112">
        <f t="shared" si="0"/>
        <v>-758606376.21999979</v>
      </c>
    </row>
    <row r="113" spans="1:5">
      <c r="A113" s="31" t="s">
        <v>19</v>
      </c>
      <c r="B113" s="35">
        <v>39119851.772999994</v>
      </c>
      <c r="C113" s="35">
        <v>710565843</v>
      </c>
      <c r="D113" s="35">
        <v>749685694.773</v>
      </c>
      <c r="E113">
        <f t="shared" si="0"/>
        <v>-758606376.21999979</v>
      </c>
    </row>
    <row r="114" spans="1:5">
      <c r="A114" s="32" t="s">
        <v>20</v>
      </c>
      <c r="B114" s="35">
        <v>39119851.772999994</v>
      </c>
      <c r="C114" s="35">
        <v>710565843</v>
      </c>
      <c r="D114" s="35">
        <v>749685694.773</v>
      </c>
      <c r="E114">
        <f t="shared" si="0"/>
        <v>671445991.227</v>
      </c>
    </row>
    <row r="115" spans="1:5">
      <c r="A115" s="31" t="s">
        <v>42</v>
      </c>
      <c r="B115" s="35">
        <v>4045730.895</v>
      </c>
      <c r="C115" s="35">
        <v>705862959</v>
      </c>
      <c r="D115" s="35">
        <v>709908689.89499998</v>
      </c>
      <c r="E115">
        <f t="shared" si="0"/>
        <v>671445991.227</v>
      </c>
    </row>
    <row r="116" spans="1:5">
      <c r="A116" s="32" t="s">
        <v>43</v>
      </c>
      <c r="B116" s="35">
        <v>4045730.895</v>
      </c>
      <c r="C116" s="35">
        <v>705862959</v>
      </c>
      <c r="D116" s="35">
        <v>709908689.89499998</v>
      </c>
      <c r="E116">
        <f t="shared" si="0"/>
        <v>701817228.10500002</v>
      </c>
    </row>
    <row r="117" spans="1:5">
      <c r="A117" s="31" t="s">
        <v>82</v>
      </c>
      <c r="B117" s="35">
        <v>9021202.4699999988</v>
      </c>
      <c r="C117" s="35">
        <v>4294332</v>
      </c>
      <c r="D117" s="35">
        <v>13315534.469999999</v>
      </c>
      <c r="E117">
        <f t="shared" si="0"/>
        <v>701817228.10500002</v>
      </c>
    </row>
    <row r="118" spans="1:5">
      <c r="A118" s="32" t="s">
        <v>83</v>
      </c>
      <c r="B118" s="35">
        <v>9021202.4699999988</v>
      </c>
      <c r="C118" s="35">
        <v>4294332</v>
      </c>
      <c r="D118" s="35">
        <v>13315534.469999999</v>
      </c>
      <c r="E118">
        <f t="shared" si="0"/>
        <v>-4726870.4699999988</v>
      </c>
    </row>
    <row r="119" spans="1:5">
      <c r="A119" s="31" t="s">
        <v>98</v>
      </c>
      <c r="B119" s="35">
        <v>55205410.517999999</v>
      </c>
      <c r="C119" s="35">
        <v>66886545</v>
      </c>
      <c r="D119" s="35">
        <v>122091955.51800001</v>
      </c>
      <c r="E119">
        <f t="shared" si="0"/>
        <v>-4726870.4699999988</v>
      </c>
    </row>
    <row r="120" spans="1:5">
      <c r="A120" s="32" t="s">
        <v>99</v>
      </c>
      <c r="B120" s="35">
        <v>55205410.517999999</v>
      </c>
      <c r="C120" s="35">
        <v>66886545</v>
      </c>
      <c r="D120" s="35">
        <v>122091955.51800001</v>
      </c>
      <c r="E120">
        <f t="shared" si="0"/>
        <v>11681134.482000001</v>
      </c>
    </row>
    <row r="121" spans="1:5">
      <c r="A121" s="31" t="s">
        <v>34</v>
      </c>
      <c r="B121" s="35">
        <v>526895.11800000002</v>
      </c>
      <c r="C121" s="35">
        <v>315848</v>
      </c>
      <c r="D121" s="35">
        <v>842743.11800000002</v>
      </c>
      <c r="E121">
        <f t="shared" si="0"/>
        <v>11681134.482000001</v>
      </c>
    </row>
    <row r="122" spans="1:5">
      <c r="A122" s="32" t="s">
        <v>35</v>
      </c>
      <c r="B122" s="35">
        <v>526895.11800000002</v>
      </c>
      <c r="C122" s="35">
        <v>315848</v>
      </c>
      <c r="D122" s="35">
        <v>842743.11800000002</v>
      </c>
      <c r="E122">
        <f t="shared" si="0"/>
        <v>-211047.11800000002</v>
      </c>
    </row>
    <row r="123" spans="1:5">
      <c r="A123" s="31" t="s">
        <v>174</v>
      </c>
      <c r="B123" s="35">
        <v>62472773260.403999</v>
      </c>
      <c r="C123" s="35">
        <v>49990894808</v>
      </c>
      <c r="D123" s="40">
        <v>112463668068.40401</v>
      </c>
      <c r="E123">
        <f t="shared" si="0"/>
        <v>-211047.11800000002</v>
      </c>
    </row>
  </sheetData>
  <pageMargins left="0.7" right="0.7" top="0.75" bottom="0.75" header="0.3" footer="0.3"/>
  <pageSetup orientation="portrait"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5893F-CC93-46C7-A888-72B57FD5E20B}">
  <dimension ref="A1"/>
  <sheetViews>
    <sheetView showGridLines="0" showRowColHeaders="0" tabSelected="1" workbookViewId="0">
      <selection activeCell="S9" sqref="S9"/>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12194-85B8-4E60-B769-B5FD6FFFB11A}">
  <dimension ref="A1:H105"/>
  <sheetViews>
    <sheetView topLeftCell="D15" workbookViewId="0">
      <selection activeCell="C16" sqref="C16"/>
    </sheetView>
  </sheetViews>
  <sheetFormatPr defaultRowHeight="14.5"/>
  <cols>
    <col min="1" max="1" width="7.7265625" customWidth="1"/>
    <col min="2" max="2" width="17.54296875" customWidth="1"/>
    <col min="3" max="3" width="126.90625" bestFit="1" customWidth="1"/>
    <col min="4" max="4" width="23.6328125" bestFit="1" customWidth="1"/>
    <col min="5" max="5" width="35.54296875" customWidth="1"/>
    <col min="6" max="6" width="31.36328125" bestFit="1" customWidth="1"/>
    <col min="7" max="7" width="14.6328125" bestFit="1" customWidth="1"/>
    <col min="8" max="8" width="14.26953125" bestFit="1" customWidth="1"/>
  </cols>
  <sheetData>
    <row r="1" spans="1:8">
      <c r="A1" t="s">
        <v>0</v>
      </c>
      <c r="B1" t="s">
        <v>4</v>
      </c>
      <c r="C1" t="s">
        <v>5</v>
      </c>
      <c r="D1" t="s">
        <v>6</v>
      </c>
      <c r="E1" t="s">
        <v>7</v>
      </c>
      <c r="F1" t="s">
        <v>170</v>
      </c>
      <c r="G1" t="s">
        <v>162</v>
      </c>
      <c r="H1" t="s">
        <v>171</v>
      </c>
    </row>
    <row r="2" spans="1:8">
      <c r="A2">
        <v>2020</v>
      </c>
      <c r="B2" t="s">
        <v>78</v>
      </c>
      <c r="C2" t="s">
        <v>79</v>
      </c>
      <c r="D2" t="s">
        <v>61</v>
      </c>
      <c r="E2" t="s">
        <v>31</v>
      </c>
      <c r="F2">
        <v>1500000000</v>
      </c>
      <c r="G2">
        <f>F2* VLOOKUP(A2, '[1]Assumptions Table'!$A$2:$D$5, 4, FALSE)</f>
        <v>4757144417.999999</v>
      </c>
      <c r="H2" t="str">
        <f t="shared" ref="H2:H65" si="0">IF(B2="","", IF(B2=B1, (G2-G1)/G1, "N/A"))</f>
        <v>N/A</v>
      </c>
    </row>
    <row r="3" spans="1:8">
      <c r="A3">
        <v>2021</v>
      </c>
      <c r="B3" t="s">
        <v>78</v>
      </c>
      <c r="C3" t="s">
        <v>79</v>
      </c>
      <c r="D3" t="s">
        <v>61</v>
      </c>
      <c r="E3" t="s">
        <v>31</v>
      </c>
      <c r="F3">
        <v>1500000000</v>
      </c>
      <c r="G3">
        <f>F3* VLOOKUP(A3, '[1]Assumptions Table'!$A$2:$D$5, 4, FALSE)</f>
        <v>3977545499.9999995</v>
      </c>
      <c r="H3" s="29">
        <f t="shared" si="0"/>
        <v>-0.1638795986622073</v>
      </c>
    </row>
    <row r="4" spans="1:8">
      <c r="A4">
        <v>2022</v>
      </c>
      <c r="B4" t="s">
        <v>78</v>
      </c>
      <c r="C4" t="s">
        <v>79</v>
      </c>
      <c r="D4" t="s">
        <v>61</v>
      </c>
      <c r="E4" t="s">
        <v>31</v>
      </c>
      <c r="F4">
        <v>1500000000</v>
      </c>
      <c r="G4">
        <f>F4* VLOOKUP(A4, '[1]Assumptions Table'!$A$2:$D$5, 4, FALSE)</f>
        <v>2308500000</v>
      </c>
      <c r="H4" s="29">
        <f t="shared" si="0"/>
        <v>-0.41961694718514214</v>
      </c>
    </row>
    <row r="5" spans="1:8">
      <c r="A5">
        <v>2023</v>
      </c>
      <c r="B5" t="s">
        <v>78</v>
      </c>
      <c r="C5" t="s">
        <v>79</v>
      </c>
      <c r="D5" t="s">
        <v>61</v>
      </c>
      <c r="E5" t="s">
        <v>31</v>
      </c>
      <c r="F5">
        <v>1407432980</v>
      </c>
      <c r="G5">
        <f>F5* VLOOKUP(A5, '[1]Assumptions Table'!$A$2:$D$5, 4, FALSE)</f>
        <v>1407432980</v>
      </c>
      <c r="H5" s="29">
        <f t="shared" si="0"/>
        <v>-0.39032576131687241</v>
      </c>
    </row>
    <row r="6" spans="1:8">
      <c r="A6">
        <v>2020</v>
      </c>
      <c r="B6" t="s">
        <v>105</v>
      </c>
      <c r="C6" t="s">
        <v>106</v>
      </c>
      <c r="D6" t="s">
        <v>107</v>
      </c>
      <c r="E6" t="s">
        <v>31</v>
      </c>
      <c r="F6">
        <v>2044703655</v>
      </c>
      <c r="G6">
        <f>F6* VLOOKUP(A6, '[1]Assumptions Table'!$A$2:$D$5, 4, FALSE)</f>
        <v>6484633719.2316303</v>
      </c>
      <c r="H6" s="29" t="str">
        <f t="shared" si="0"/>
        <v>N/A</v>
      </c>
    </row>
    <row r="7" spans="1:8">
      <c r="A7">
        <v>2021</v>
      </c>
      <c r="B7" t="s">
        <v>105</v>
      </c>
      <c r="C7" t="s">
        <v>106</v>
      </c>
      <c r="D7" t="s">
        <v>107</v>
      </c>
      <c r="E7" t="s">
        <v>31</v>
      </c>
      <c r="F7">
        <v>2693062496</v>
      </c>
      <c r="G7">
        <f>F7* VLOOKUP(A7, '[1]Assumptions Table'!$A$2:$D$5, 4, FALSE)</f>
        <v>7141185741.4557104</v>
      </c>
      <c r="H7" s="29">
        <f t="shared" si="0"/>
        <v>0.10124735654335083</v>
      </c>
    </row>
    <row r="8" spans="1:8">
      <c r="A8">
        <v>2022</v>
      </c>
      <c r="B8" t="s">
        <v>105</v>
      </c>
      <c r="C8" t="s">
        <v>106</v>
      </c>
      <c r="D8" t="s">
        <v>107</v>
      </c>
      <c r="E8" t="s">
        <v>31</v>
      </c>
      <c r="F8">
        <v>2729279431</v>
      </c>
      <c r="G8">
        <f>F8* VLOOKUP(A8, '[1]Assumptions Table'!$A$2:$D$5, 4, FALSE)</f>
        <v>4200361044.309</v>
      </c>
      <c r="H8" s="29">
        <f t="shared" si="0"/>
        <v>-0.41181181999996985</v>
      </c>
    </row>
    <row r="9" spans="1:8">
      <c r="A9">
        <v>2023</v>
      </c>
      <c r="B9" t="s">
        <v>105</v>
      </c>
      <c r="C9" t="s">
        <v>106</v>
      </c>
      <c r="D9" t="s">
        <v>107</v>
      </c>
      <c r="E9" t="s">
        <v>31</v>
      </c>
      <c r="F9">
        <v>3666073536</v>
      </c>
      <c r="G9">
        <f>F9* VLOOKUP(A9, '[1]Assumptions Table'!$A$2:$D$5, 4, FALSE)</f>
        <v>3666073536</v>
      </c>
      <c r="H9" s="29">
        <f t="shared" si="0"/>
        <v>-0.12720037698494926</v>
      </c>
    </row>
    <row r="10" spans="1:8">
      <c r="A10">
        <v>2020</v>
      </c>
      <c r="B10" t="s">
        <v>59</v>
      </c>
      <c r="C10" t="s">
        <v>60</v>
      </c>
      <c r="D10" t="s">
        <v>61</v>
      </c>
      <c r="E10" t="s">
        <v>31</v>
      </c>
      <c r="F10">
        <v>1215000000</v>
      </c>
      <c r="G10">
        <f>F10* VLOOKUP(A10, '[1]Assumptions Table'!$A$2:$D$5, 4, FALSE)</f>
        <v>3853286978.5799994</v>
      </c>
      <c r="H10" s="29" t="str">
        <f t="shared" si="0"/>
        <v>N/A</v>
      </c>
    </row>
    <row r="11" spans="1:8">
      <c r="A11">
        <v>2021</v>
      </c>
      <c r="B11" t="s">
        <v>59</v>
      </c>
      <c r="C11" t="s">
        <v>60</v>
      </c>
      <c r="D11" t="s">
        <v>61</v>
      </c>
      <c r="E11" t="s">
        <v>31</v>
      </c>
      <c r="F11">
        <v>1468400000</v>
      </c>
      <c r="G11">
        <f>F11* VLOOKUP(A11, '[1]Assumptions Table'!$A$2:$D$5, 4, FALSE)</f>
        <v>3893751874.7999992</v>
      </c>
      <c r="H11" s="29">
        <f t="shared" si="0"/>
        <v>1.0501396974826873E-2</v>
      </c>
    </row>
    <row r="12" spans="1:8">
      <c r="A12">
        <v>2022</v>
      </c>
      <c r="B12" t="s">
        <v>59</v>
      </c>
      <c r="C12" t="s">
        <v>60</v>
      </c>
      <c r="D12" t="s">
        <v>61</v>
      </c>
      <c r="E12" t="s">
        <v>31</v>
      </c>
      <c r="F12">
        <v>1771500000</v>
      </c>
      <c r="G12">
        <f>F12* VLOOKUP(A12, '[1]Assumptions Table'!$A$2:$D$5, 4, FALSE)</f>
        <v>2726338500</v>
      </c>
      <c r="H12" s="29">
        <f t="shared" si="0"/>
        <v>-0.29981709475516155</v>
      </c>
    </row>
    <row r="13" spans="1:8">
      <c r="A13">
        <v>2023</v>
      </c>
      <c r="B13" t="s">
        <v>59</v>
      </c>
      <c r="C13" t="s">
        <v>60</v>
      </c>
      <c r="D13" t="s">
        <v>61</v>
      </c>
      <c r="E13" t="s">
        <v>31</v>
      </c>
      <c r="F13">
        <v>703716490</v>
      </c>
      <c r="G13">
        <f>F13* VLOOKUP(A13, '[1]Assumptions Table'!$A$2:$D$5, 4, FALSE)</f>
        <v>703716490</v>
      </c>
      <c r="H13" s="29">
        <f t="shared" si="0"/>
        <v>-0.74188220208165645</v>
      </c>
    </row>
    <row r="14" spans="1:8">
      <c r="A14">
        <v>2020</v>
      </c>
      <c r="B14" t="s">
        <v>67</v>
      </c>
      <c r="C14" t="s">
        <v>68</v>
      </c>
      <c r="D14" t="s">
        <v>61</v>
      </c>
      <c r="E14" t="s">
        <v>31</v>
      </c>
      <c r="F14">
        <v>2814865960</v>
      </c>
      <c r="G14">
        <f>F14* VLOOKUP(A14, '[1]Assumptions Table'!$A$2:$D$5, 4, FALSE)</f>
        <v>8927149259.354805</v>
      </c>
      <c r="H14" s="29" t="str">
        <f t="shared" si="0"/>
        <v>N/A</v>
      </c>
    </row>
    <row r="15" spans="1:8">
      <c r="A15">
        <v>2021</v>
      </c>
      <c r="B15" t="s">
        <v>67</v>
      </c>
      <c r="C15" t="s">
        <v>68</v>
      </c>
      <c r="D15" t="s">
        <v>61</v>
      </c>
      <c r="E15" t="s">
        <v>31</v>
      </c>
      <c r="F15">
        <v>2814865960</v>
      </c>
      <c r="G15">
        <f>F15* VLOOKUP(A15, '[1]Assumptions Table'!$A$2:$D$5, 4, FALSE)</f>
        <v>7464171621.5341187</v>
      </c>
      <c r="H15" s="29">
        <f t="shared" si="0"/>
        <v>-0.16387959866220728</v>
      </c>
    </row>
    <row r="16" spans="1:8">
      <c r="A16">
        <v>2022</v>
      </c>
      <c r="B16" t="s">
        <v>67</v>
      </c>
      <c r="C16" t="s">
        <v>68</v>
      </c>
      <c r="D16" t="s">
        <v>61</v>
      </c>
      <c r="E16" t="s">
        <v>31</v>
      </c>
      <c r="F16">
        <v>2814865960</v>
      </c>
      <c r="G16">
        <f>F16* VLOOKUP(A16, '[1]Assumptions Table'!$A$2:$D$5, 4, FALSE)</f>
        <v>4332078712.4399996</v>
      </c>
      <c r="H16" s="29">
        <f t="shared" si="0"/>
        <v>-0.41961694718514214</v>
      </c>
    </row>
    <row r="17" spans="1:8">
      <c r="A17">
        <v>2023</v>
      </c>
      <c r="B17" t="s">
        <v>67</v>
      </c>
      <c r="C17" t="s">
        <v>68</v>
      </c>
      <c r="D17" t="s">
        <v>61</v>
      </c>
      <c r="E17" t="s">
        <v>31</v>
      </c>
      <c r="F17">
        <v>2814865960</v>
      </c>
      <c r="G17">
        <f>F17* VLOOKUP(A17, '[1]Assumptions Table'!$A$2:$D$5, 4, FALSE)</f>
        <v>2814865960</v>
      </c>
      <c r="H17" s="29">
        <f t="shared" si="0"/>
        <v>-0.35022742040285892</v>
      </c>
    </row>
    <row r="18" spans="1:8">
      <c r="A18">
        <v>2020</v>
      </c>
      <c r="B18" t="s">
        <v>71</v>
      </c>
      <c r="C18" t="s">
        <v>72</v>
      </c>
      <c r="D18" t="s">
        <v>21</v>
      </c>
      <c r="E18" t="s">
        <v>22</v>
      </c>
      <c r="F18">
        <v>80724000</v>
      </c>
      <c r="G18">
        <f>F18* VLOOKUP(A18, '[1]Assumptions Table'!$A$2:$D$5, 4, FALSE)</f>
        <v>256010483.99908796</v>
      </c>
      <c r="H18" s="29" t="str">
        <f t="shared" si="0"/>
        <v>N/A</v>
      </c>
    </row>
    <row r="19" spans="1:8">
      <c r="A19">
        <v>2021</v>
      </c>
      <c r="B19" t="s">
        <v>71</v>
      </c>
      <c r="C19" t="s">
        <v>72</v>
      </c>
      <c r="D19" t="s">
        <v>21</v>
      </c>
      <c r="E19" t="s">
        <v>22</v>
      </c>
      <c r="F19">
        <v>206270897</v>
      </c>
      <c r="G19">
        <f>F19* VLOOKUP(A19, '[1]Assumptions Table'!$A$2:$D$5, 4, FALSE)</f>
        <v>546967918.76220894</v>
      </c>
      <c r="H19" s="29">
        <f t="shared" si="0"/>
        <v>1.1365059360778269</v>
      </c>
    </row>
    <row r="20" spans="1:8">
      <c r="A20">
        <v>2022</v>
      </c>
      <c r="B20" t="s">
        <v>71</v>
      </c>
      <c r="C20" t="s">
        <v>72</v>
      </c>
      <c r="D20" t="s">
        <v>21</v>
      </c>
      <c r="E20" t="s">
        <v>22</v>
      </c>
      <c r="F20">
        <v>107228899</v>
      </c>
      <c r="G20">
        <f>F20* VLOOKUP(A20, '[1]Assumptions Table'!$A$2:$D$5, 4, FALSE)</f>
        <v>165025275.56099999</v>
      </c>
      <c r="H20" s="29">
        <f t="shared" si="0"/>
        <v>-0.69829075910987071</v>
      </c>
    </row>
    <row r="21" spans="1:8">
      <c r="A21">
        <v>2023</v>
      </c>
      <c r="B21" t="s">
        <v>71</v>
      </c>
      <c r="C21" t="s">
        <v>72</v>
      </c>
      <c r="D21" t="s">
        <v>21</v>
      </c>
      <c r="E21" t="s">
        <v>22</v>
      </c>
      <c r="F21">
        <v>733042895</v>
      </c>
      <c r="G21">
        <f>F21* VLOOKUP(A21, '[1]Assumptions Table'!$A$2:$D$5, 4, FALSE)</f>
        <v>733042895</v>
      </c>
      <c r="H21" s="29">
        <f t="shared" si="0"/>
        <v>3.4420037628056424</v>
      </c>
    </row>
    <row r="22" spans="1:8">
      <c r="A22">
        <v>2020</v>
      </c>
      <c r="B22" t="s">
        <v>117</v>
      </c>
      <c r="C22" t="s">
        <v>118</v>
      </c>
      <c r="D22" t="s">
        <v>40</v>
      </c>
      <c r="E22" t="s">
        <v>22</v>
      </c>
      <c r="F22">
        <v>171639000</v>
      </c>
      <c r="G22">
        <f>F22* VLOOKUP(A22, '[1]Assumptions Table'!$A$2:$D$5, 4, FALSE)</f>
        <v>544341007.17406785</v>
      </c>
      <c r="H22" s="29" t="str">
        <f t="shared" si="0"/>
        <v>N/A</v>
      </c>
    </row>
    <row r="23" spans="1:8">
      <c r="A23">
        <v>2021</v>
      </c>
      <c r="B23" t="s">
        <v>117</v>
      </c>
      <c r="C23" t="s">
        <v>118</v>
      </c>
      <c r="D23" t="s">
        <v>40</v>
      </c>
      <c r="E23" t="s">
        <v>22</v>
      </c>
      <c r="F23">
        <v>53033000</v>
      </c>
      <c r="G23">
        <f>F23* VLOOKUP(A23, '[1]Assumptions Table'!$A$2:$D$5, 4, FALSE)</f>
        <v>140627447.00099999</v>
      </c>
      <c r="H23" s="29">
        <f t="shared" si="0"/>
        <v>-0.74165560715136325</v>
      </c>
    </row>
    <row r="24" spans="1:8">
      <c r="A24">
        <v>2022</v>
      </c>
      <c r="B24" t="s">
        <v>117</v>
      </c>
      <c r="C24" t="s">
        <v>118</v>
      </c>
      <c r="D24" t="s">
        <v>40</v>
      </c>
      <c r="E24" t="s">
        <v>22</v>
      </c>
      <c r="F24">
        <v>149270000</v>
      </c>
      <c r="G24">
        <f>F24* VLOOKUP(A24, '[1]Assumptions Table'!$A$2:$D$5, 4, FALSE)</f>
        <v>229726530</v>
      </c>
      <c r="H24" s="29">
        <f t="shared" si="0"/>
        <v>0.63358245420160719</v>
      </c>
    </row>
    <row r="25" spans="1:8">
      <c r="A25">
        <v>2023</v>
      </c>
      <c r="B25" t="s">
        <v>117</v>
      </c>
      <c r="C25" t="s">
        <v>118</v>
      </c>
      <c r="D25" t="s">
        <v>40</v>
      </c>
      <c r="E25" t="s">
        <v>22</v>
      </c>
      <c r="F25">
        <v>253387000</v>
      </c>
      <c r="G25">
        <f>F25* VLOOKUP(A25, '[1]Assumptions Table'!$A$2:$D$5, 4, FALSE)</f>
        <v>253387000</v>
      </c>
      <c r="H25" s="29">
        <f t="shared" si="0"/>
        <v>0.10299406864326902</v>
      </c>
    </row>
    <row r="26" spans="1:8">
      <c r="A26">
        <v>2020</v>
      </c>
      <c r="B26" t="s">
        <v>122</v>
      </c>
      <c r="C26" t="s">
        <v>123</v>
      </c>
      <c r="D26" t="s">
        <v>40</v>
      </c>
      <c r="E26" t="s">
        <v>22</v>
      </c>
      <c r="F26">
        <v>720925000</v>
      </c>
      <c r="G26">
        <f>F26* VLOOKUP(A26, '[1]Assumptions Table'!$A$2:$D$5, 4, FALSE)</f>
        <v>2286362893.0310998</v>
      </c>
      <c r="H26" s="29" t="str">
        <f t="shared" si="0"/>
        <v>N/A</v>
      </c>
    </row>
    <row r="27" spans="1:8">
      <c r="A27">
        <v>2021</v>
      </c>
      <c r="B27" t="s">
        <v>122</v>
      </c>
      <c r="C27" t="s">
        <v>123</v>
      </c>
      <c r="D27" t="s">
        <v>40</v>
      </c>
      <c r="E27" t="s">
        <v>22</v>
      </c>
      <c r="F27">
        <v>353431000</v>
      </c>
      <c r="G27">
        <f>F27* VLOOKUP(A27, '[1]Assumptions Table'!$A$2:$D$5, 4, FALSE)</f>
        <v>937191922.40699983</v>
      </c>
      <c r="H27" s="29">
        <f t="shared" si="0"/>
        <v>-0.59009485096893943</v>
      </c>
    </row>
    <row r="28" spans="1:8">
      <c r="A28">
        <v>2022</v>
      </c>
      <c r="B28" t="s">
        <v>122</v>
      </c>
      <c r="C28" t="s">
        <v>123</v>
      </c>
      <c r="D28" t="s">
        <v>40</v>
      </c>
      <c r="E28" t="s">
        <v>22</v>
      </c>
      <c r="F28">
        <v>512797000</v>
      </c>
      <c r="G28">
        <f>F28* VLOOKUP(A28, '[1]Assumptions Table'!$A$2:$D$5, 4, FALSE)</f>
        <v>789194583</v>
      </c>
      <c r="H28" s="29">
        <f t="shared" si="0"/>
        <v>-0.15791572234948067</v>
      </c>
    </row>
    <row r="29" spans="1:8">
      <c r="A29">
        <v>2023</v>
      </c>
      <c r="B29" t="s">
        <v>122</v>
      </c>
      <c r="C29" t="s">
        <v>123</v>
      </c>
      <c r="D29" t="s">
        <v>40</v>
      </c>
      <c r="E29" t="s">
        <v>22</v>
      </c>
      <c r="F29">
        <v>870475000</v>
      </c>
      <c r="G29">
        <f>F29* VLOOKUP(A29, '[1]Assumptions Table'!$A$2:$D$5, 4, FALSE)</f>
        <v>870475000</v>
      </c>
      <c r="H29" s="29">
        <f t="shared" si="0"/>
        <v>0.10299160530350472</v>
      </c>
    </row>
    <row r="30" spans="1:8">
      <c r="A30">
        <v>2020</v>
      </c>
      <c r="B30" t="s">
        <v>101</v>
      </c>
      <c r="C30" t="s">
        <v>102</v>
      </c>
      <c r="D30" t="s">
        <v>40</v>
      </c>
      <c r="E30" t="s">
        <v>22</v>
      </c>
      <c r="F30">
        <v>2242754000</v>
      </c>
      <c r="G30">
        <f>F30* VLOOKUP(A30, '[1]Assumptions Table'!$A$2:$D$5, 4, FALSE)</f>
        <v>7112736448.0314465</v>
      </c>
      <c r="H30" s="29" t="str">
        <f t="shared" si="0"/>
        <v>N/A</v>
      </c>
    </row>
    <row r="31" spans="1:8">
      <c r="A31">
        <v>2021</v>
      </c>
      <c r="B31" t="s">
        <v>101</v>
      </c>
      <c r="C31" t="s">
        <v>102</v>
      </c>
      <c r="D31" t="s">
        <v>40</v>
      </c>
      <c r="E31" t="s">
        <v>22</v>
      </c>
      <c r="F31">
        <v>3785303000</v>
      </c>
      <c r="G31">
        <f>F31* VLOOKUP(A31, '[1]Assumptions Table'!$A$2:$D$5, 4, FALSE)</f>
        <v>10037476609.190998</v>
      </c>
      <c r="H31" s="29">
        <f t="shared" si="0"/>
        <v>0.41119760060405669</v>
      </c>
    </row>
    <row r="32" spans="1:8">
      <c r="A32">
        <v>2022</v>
      </c>
      <c r="B32" t="s">
        <v>101</v>
      </c>
      <c r="C32" t="s">
        <v>102</v>
      </c>
      <c r="D32" t="s">
        <v>40</v>
      </c>
      <c r="E32" t="s">
        <v>22</v>
      </c>
      <c r="F32">
        <v>4736847000</v>
      </c>
      <c r="G32">
        <f>F32* VLOOKUP(A32, '[1]Assumptions Table'!$A$2:$D$5, 4, FALSE)</f>
        <v>7290007533</v>
      </c>
      <c r="H32" s="29">
        <f t="shared" si="0"/>
        <v>-0.27372109377323262</v>
      </c>
    </row>
    <row r="33" spans="1:8">
      <c r="A33">
        <v>2023</v>
      </c>
      <c r="B33" t="s">
        <v>101</v>
      </c>
      <c r="C33" t="s">
        <v>102</v>
      </c>
      <c r="D33" t="s">
        <v>40</v>
      </c>
      <c r="E33" t="s">
        <v>22</v>
      </c>
      <c r="F33">
        <v>5550230000</v>
      </c>
      <c r="G33">
        <f>F33* VLOOKUP(A33, '[1]Assumptions Table'!$A$2:$D$5, 4, FALSE)</f>
        <v>5550230000</v>
      </c>
      <c r="H33" s="29">
        <f t="shared" si="0"/>
        <v>-0.23865236422931965</v>
      </c>
    </row>
    <row r="34" spans="1:8">
      <c r="A34">
        <v>2020</v>
      </c>
      <c r="B34" t="s">
        <v>51</v>
      </c>
      <c r="C34" t="s">
        <v>52</v>
      </c>
      <c r="D34" t="s">
        <v>30</v>
      </c>
      <c r="E34" t="s">
        <v>22</v>
      </c>
      <c r="F34">
        <v>1407432980</v>
      </c>
      <c r="G34">
        <f>F34* VLOOKUP(A34, '[1]Assumptions Table'!$A$2:$D$5, 4, FALSE)</f>
        <v>4463574629.6774025</v>
      </c>
      <c r="H34" s="29" t="str">
        <f t="shared" si="0"/>
        <v>N/A</v>
      </c>
    </row>
    <row r="35" spans="1:8">
      <c r="A35">
        <v>2021</v>
      </c>
      <c r="B35" t="s">
        <v>51</v>
      </c>
      <c r="C35" t="s">
        <v>52</v>
      </c>
      <c r="D35" t="s">
        <v>30</v>
      </c>
      <c r="E35" t="s">
        <v>22</v>
      </c>
      <c r="F35">
        <v>1407432980</v>
      </c>
      <c r="G35">
        <f>F35* VLOOKUP(A35, '[1]Assumptions Table'!$A$2:$D$5, 4, FALSE)</f>
        <v>3732085810.7670593</v>
      </c>
      <c r="H35" s="29">
        <f t="shared" si="0"/>
        <v>-0.16387959866220728</v>
      </c>
    </row>
    <row r="36" spans="1:8">
      <c r="A36">
        <v>2022</v>
      </c>
      <c r="B36" t="s">
        <v>51</v>
      </c>
      <c r="C36" t="s">
        <v>52</v>
      </c>
      <c r="D36" t="s">
        <v>30</v>
      </c>
      <c r="E36" t="s">
        <v>22</v>
      </c>
      <c r="F36">
        <v>1407432980</v>
      </c>
      <c r="G36">
        <f>F36* VLOOKUP(A36, '[1]Assumptions Table'!$A$2:$D$5, 4, FALSE)</f>
        <v>2166039356.2199998</v>
      </c>
      <c r="H36" s="29">
        <f t="shared" si="0"/>
        <v>-0.41961694718514214</v>
      </c>
    </row>
    <row r="37" spans="1:8">
      <c r="A37">
        <v>2023</v>
      </c>
      <c r="B37" t="s">
        <v>51</v>
      </c>
      <c r="C37" t="s">
        <v>52</v>
      </c>
      <c r="D37" t="s">
        <v>30</v>
      </c>
      <c r="E37" t="s">
        <v>22</v>
      </c>
      <c r="F37">
        <v>1407432980</v>
      </c>
      <c r="G37">
        <f>F37* VLOOKUP(A37, '[1]Assumptions Table'!$A$2:$D$5, 4, FALSE)</f>
        <v>1407432980</v>
      </c>
      <c r="H37" s="29">
        <f t="shared" si="0"/>
        <v>-0.35022742040285892</v>
      </c>
    </row>
    <row r="38" spans="1:8">
      <c r="A38">
        <v>2020</v>
      </c>
      <c r="B38" t="s">
        <v>91</v>
      </c>
      <c r="C38" t="s">
        <v>92</v>
      </c>
      <c r="D38" t="s">
        <v>40</v>
      </c>
      <c r="E38" t="s">
        <v>22</v>
      </c>
      <c r="F38">
        <v>64138000</v>
      </c>
      <c r="G38">
        <f>F38* VLOOKUP(A38, '[1]Assumptions Table'!$A$2:$D$5, 4, FALSE)</f>
        <v>203409152.45445597</v>
      </c>
      <c r="H38" s="29" t="str">
        <f t="shared" si="0"/>
        <v>N/A</v>
      </c>
    </row>
    <row r="39" spans="1:8">
      <c r="A39">
        <v>2021</v>
      </c>
      <c r="B39" t="s">
        <v>91</v>
      </c>
      <c r="C39" t="s">
        <v>92</v>
      </c>
      <c r="D39" t="s">
        <v>40</v>
      </c>
      <c r="E39" t="s">
        <v>22</v>
      </c>
      <c r="F39">
        <v>6450000</v>
      </c>
      <c r="G39">
        <f>F39* VLOOKUP(A39, '[1]Assumptions Table'!$A$2:$D$5, 4, FALSE)</f>
        <v>17103445.649999999</v>
      </c>
      <c r="H39" s="29">
        <f t="shared" si="0"/>
        <v>-0.91591604682670547</v>
      </c>
    </row>
    <row r="40" spans="1:8">
      <c r="A40">
        <v>2022</v>
      </c>
      <c r="B40" t="s">
        <v>91</v>
      </c>
      <c r="C40" t="s">
        <v>92</v>
      </c>
      <c r="D40" t="s">
        <v>40</v>
      </c>
      <c r="E40" t="s">
        <v>22</v>
      </c>
      <c r="F40">
        <v>84882000</v>
      </c>
      <c r="G40">
        <f>F40* VLOOKUP(A40, '[1]Assumptions Table'!$A$2:$D$5, 4, FALSE)</f>
        <v>130633398</v>
      </c>
      <c r="H40" s="29">
        <f t="shared" si="0"/>
        <v>6.6378409750435292</v>
      </c>
    </row>
    <row r="41" spans="1:8">
      <c r="A41">
        <v>2023</v>
      </c>
      <c r="B41" t="s">
        <v>91</v>
      </c>
      <c r="C41" t="s">
        <v>92</v>
      </c>
      <c r="D41" t="s">
        <v>40</v>
      </c>
      <c r="E41" t="s">
        <v>22</v>
      </c>
      <c r="F41">
        <v>144087000</v>
      </c>
      <c r="G41">
        <f>F41* VLOOKUP(A41, '[1]Assumptions Table'!$A$2:$D$5, 4, FALSE)</f>
        <v>144087000</v>
      </c>
      <c r="H41" s="29">
        <f t="shared" si="0"/>
        <v>0.10298746113914911</v>
      </c>
    </row>
    <row r="42" spans="1:8">
      <c r="A42">
        <v>2020</v>
      </c>
      <c r="B42" t="s">
        <v>85</v>
      </c>
      <c r="C42" t="s">
        <v>86</v>
      </c>
      <c r="D42" t="s">
        <v>40</v>
      </c>
      <c r="E42" t="s">
        <v>22</v>
      </c>
      <c r="F42">
        <v>703716490</v>
      </c>
      <c r="G42">
        <f>F42* VLOOKUP(A42, '[1]Assumptions Table'!$A$2:$D$5, 4, FALSE)</f>
        <v>2231787314.8387012</v>
      </c>
      <c r="H42" s="29" t="str">
        <f t="shared" si="0"/>
        <v>N/A</v>
      </c>
    </row>
    <row r="43" spans="1:8">
      <c r="A43">
        <v>2021</v>
      </c>
      <c r="B43" t="s">
        <v>85</v>
      </c>
      <c r="C43" t="s">
        <v>86</v>
      </c>
      <c r="D43" t="s">
        <v>40</v>
      </c>
      <c r="E43" t="s">
        <v>22</v>
      </c>
      <c r="F43">
        <v>703716490</v>
      </c>
      <c r="G43">
        <f>F43* VLOOKUP(A43, '[1]Assumptions Table'!$A$2:$D$5, 4, FALSE)</f>
        <v>1866042905.3835297</v>
      </c>
      <c r="H43" s="29">
        <f t="shared" si="0"/>
        <v>-0.16387959866220728</v>
      </c>
    </row>
    <row r="44" spans="1:8">
      <c r="A44">
        <v>2022</v>
      </c>
      <c r="B44" t="s">
        <v>85</v>
      </c>
      <c r="C44" t="s">
        <v>86</v>
      </c>
      <c r="D44" t="s">
        <v>40</v>
      </c>
      <c r="E44" t="s">
        <v>22</v>
      </c>
      <c r="F44">
        <v>703716490</v>
      </c>
      <c r="G44">
        <f>F44* VLOOKUP(A44, '[1]Assumptions Table'!$A$2:$D$5, 4, FALSE)</f>
        <v>1083019678.1099999</v>
      </c>
      <c r="H44" s="29">
        <f t="shared" si="0"/>
        <v>-0.41961694718514214</v>
      </c>
    </row>
    <row r="45" spans="1:8">
      <c r="A45">
        <v>2023</v>
      </c>
      <c r="B45" t="s">
        <v>85</v>
      </c>
      <c r="C45" t="s">
        <v>86</v>
      </c>
      <c r="D45" t="s">
        <v>40</v>
      </c>
      <c r="E45" t="s">
        <v>22</v>
      </c>
      <c r="F45">
        <v>703716490</v>
      </c>
      <c r="G45">
        <f>F45* VLOOKUP(A45, '[1]Assumptions Table'!$A$2:$D$5, 4, FALSE)</f>
        <v>703716490</v>
      </c>
      <c r="H45" s="29">
        <f t="shared" si="0"/>
        <v>-0.35022742040285892</v>
      </c>
    </row>
    <row r="46" spans="1:8">
      <c r="A46">
        <v>2020</v>
      </c>
      <c r="B46" t="s">
        <v>47</v>
      </c>
      <c r="C46" t="s">
        <v>48</v>
      </c>
      <c r="D46" t="s">
        <v>40</v>
      </c>
      <c r="E46" t="s">
        <v>22</v>
      </c>
      <c r="F46">
        <v>8431928000</v>
      </c>
      <c r="G46">
        <f>F46* VLOOKUP(A46, '[1]Assumptions Table'!$A$2:$D$5, 4, FALSE)</f>
        <v>26741266145.451931</v>
      </c>
      <c r="H46" s="29" t="str">
        <f t="shared" si="0"/>
        <v>N/A</v>
      </c>
    </row>
    <row r="47" spans="1:8">
      <c r="A47">
        <v>2021</v>
      </c>
      <c r="B47" t="s">
        <v>47</v>
      </c>
      <c r="C47" t="s">
        <v>48</v>
      </c>
      <c r="D47" t="s">
        <v>40</v>
      </c>
      <c r="E47" t="s">
        <v>22</v>
      </c>
      <c r="F47">
        <v>7432833000</v>
      </c>
      <c r="G47">
        <f>F47* VLOOKUP(A47, '[1]Assumptions Table'!$A$2:$D$5, 4, FALSE)</f>
        <v>19709620967.600998</v>
      </c>
      <c r="H47" s="29">
        <f t="shared" si="0"/>
        <v>-0.26295109362451985</v>
      </c>
    </row>
    <row r="48" spans="1:8">
      <c r="A48">
        <v>2022</v>
      </c>
      <c r="B48" t="s">
        <v>47</v>
      </c>
      <c r="C48" t="s">
        <v>48</v>
      </c>
      <c r="D48" t="s">
        <v>40</v>
      </c>
      <c r="E48" t="s">
        <v>22</v>
      </c>
      <c r="F48">
        <v>6697557000</v>
      </c>
      <c r="G48">
        <f>F48* VLOOKUP(A48, '[1]Assumptions Table'!$A$2:$D$5, 4, FALSE)</f>
        <v>10307540223</v>
      </c>
      <c r="H48" s="29">
        <f t="shared" si="0"/>
        <v>-0.47703001290873603</v>
      </c>
    </row>
    <row r="49" spans="1:8">
      <c r="A49">
        <v>2023</v>
      </c>
      <c r="B49" t="s">
        <v>47</v>
      </c>
      <c r="C49" t="s">
        <v>48</v>
      </c>
      <c r="D49" t="s">
        <v>40</v>
      </c>
      <c r="E49" t="s">
        <v>22</v>
      </c>
      <c r="F49">
        <v>8378605000</v>
      </c>
      <c r="G49">
        <f>F49* VLOOKUP(A49, '[1]Assumptions Table'!$A$2:$D$5, 4, FALSE)</f>
        <v>8378605000</v>
      </c>
      <c r="H49" s="29">
        <f t="shared" si="0"/>
        <v>-0.18713826783773493</v>
      </c>
    </row>
    <row r="50" spans="1:8">
      <c r="A50">
        <v>2020</v>
      </c>
      <c r="B50" t="s">
        <v>44</v>
      </c>
      <c r="C50" t="s">
        <v>45</v>
      </c>
      <c r="D50" t="s">
        <v>40</v>
      </c>
      <c r="E50" t="s">
        <v>22</v>
      </c>
      <c r="F50">
        <v>633403000</v>
      </c>
      <c r="G50">
        <f>F50* VLOOKUP(A50, '[1]Assumptions Table'!$A$2:$D$5, 4, FALSE)</f>
        <v>2008793030.5296357</v>
      </c>
      <c r="H50" s="29" t="str">
        <f t="shared" si="0"/>
        <v>N/A</v>
      </c>
    </row>
    <row r="51" spans="1:8">
      <c r="A51">
        <v>2021</v>
      </c>
      <c r="B51" t="s">
        <v>44</v>
      </c>
      <c r="C51" t="s">
        <v>45</v>
      </c>
      <c r="D51" t="s">
        <v>40</v>
      </c>
      <c r="E51" t="s">
        <v>22</v>
      </c>
      <c r="F51">
        <v>167977000</v>
      </c>
      <c r="G51">
        <f>F51* VLOOKUP(A51, '[1]Assumptions Table'!$A$2:$D$5, 4, FALSE)</f>
        <v>445424106.96899992</v>
      </c>
      <c r="H51" s="29">
        <f t="shared" si="0"/>
        <v>-0.77826281742347547</v>
      </c>
    </row>
    <row r="52" spans="1:8">
      <c r="A52">
        <v>2022</v>
      </c>
      <c r="B52" t="s">
        <v>44</v>
      </c>
      <c r="C52" t="s">
        <v>45</v>
      </c>
      <c r="D52" t="s">
        <v>40</v>
      </c>
      <c r="E52" t="s">
        <v>22</v>
      </c>
      <c r="F52">
        <v>557796000</v>
      </c>
      <c r="G52">
        <f>F52* VLOOKUP(A52, '[1]Assumptions Table'!$A$2:$D$5, 4, FALSE)</f>
        <v>858448044</v>
      </c>
      <c r="H52" s="29">
        <f t="shared" si="0"/>
        <v>0.92725995420751939</v>
      </c>
    </row>
    <row r="53" spans="1:8">
      <c r="A53">
        <v>2023</v>
      </c>
      <c r="B53" t="s">
        <v>44</v>
      </c>
      <c r="C53" t="s">
        <v>45</v>
      </c>
      <c r="D53" t="s">
        <v>40</v>
      </c>
      <c r="E53" t="s">
        <v>22</v>
      </c>
      <c r="F53">
        <v>1717747000</v>
      </c>
      <c r="G53">
        <f>F53* VLOOKUP(A53, '[1]Assumptions Table'!$A$2:$D$5, 4, FALSE)</f>
        <v>1717747000</v>
      </c>
      <c r="H53" s="29">
        <f t="shared" si="0"/>
        <v>1.0009912213161267</v>
      </c>
    </row>
    <row r="54" spans="1:8">
      <c r="A54">
        <v>2020</v>
      </c>
      <c r="B54" t="s">
        <v>38</v>
      </c>
      <c r="C54" t="s">
        <v>39</v>
      </c>
      <c r="D54" t="s">
        <v>40</v>
      </c>
      <c r="E54" t="s">
        <v>22</v>
      </c>
      <c r="F54">
        <v>2111149470</v>
      </c>
      <c r="G54">
        <f>F54* VLOOKUP(A54, '[1]Assumptions Table'!$A$2:$D$5, 4, FALSE)</f>
        <v>6695361944.5161047</v>
      </c>
      <c r="H54" s="29" t="str">
        <f t="shared" si="0"/>
        <v>N/A</v>
      </c>
    </row>
    <row r="55" spans="1:8">
      <c r="A55">
        <v>2021</v>
      </c>
      <c r="B55" t="s">
        <v>38</v>
      </c>
      <c r="C55" t="s">
        <v>39</v>
      </c>
      <c r="D55" t="s">
        <v>40</v>
      </c>
      <c r="E55" t="s">
        <v>22</v>
      </c>
      <c r="F55">
        <v>2111149470</v>
      </c>
      <c r="G55">
        <f>F55* VLOOKUP(A55, '[1]Assumptions Table'!$A$2:$D$5, 4, FALSE)</f>
        <v>5598128716.150589</v>
      </c>
      <c r="H55" s="29">
        <f t="shared" si="0"/>
        <v>-0.16387959866220739</v>
      </c>
    </row>
    <row r="56" spans="1:8">
      <c r="A56">
        <v>2022</v>
      </c>
      <c r="B56" t="s">
        <v>38</v>
      </c>
      <c r="C56" t="s">
        <v>39</v>
      </c>
      <c r="D56" t="s">
        <v>40</v>
      </c>
      <c r="E56" t="s">
        <v>22</v>
      </c>
      <c r="F56">
        <v>2111149470</v>
      </c>
      <c r="G56">
        <f>F56* VLOOKUP(A56, '[1]Assumptions Table'!$A$2:$D$5, 4, FALSE)</f>
        <v>3249059034.3299999</v>
      </c>
      <c r="H56" s="29">
        <f t="shared" si="0"/>
        <v>-0.41961694718514209</v>
      </c>
    </row>
    <row r="57" spans="1:8">
      <c r="A57">
        <v>2023</v>
      </c>
      <c r="B57" t="s">
        <v>38</v>
      </c>
      <c r="C57" t="s">
        <v>39</v>
      </c>
      <c r="D57" t="s">
        <v>40</v>
      </c>
      <c r="E57" t="s">
        <v>22</v>
      </c>
      <c r="F57">
        <v>2111149470</v>
      </c>
      <c r="G57">
        <f>F57* VLOOKUP(A57, '[1]Assumptions Table'!$A$2:$D$5, 4, FALSE)</f>
        <v>2111149470</v>
      </c>
      <c r="H57" s="29">
        <f t="shared" si="0"/>
        <v>-0.35022742040285898</v>
      </c>
    </row>
    <row r="58" spans="1:8">
      <c r="A58">
        <v>2020</v>
      </c>
      <c r="B58" t="s">
        <v>56</v>
      </c>
      <c r="C58" t="s">
        <v>57</v>
      </c>
      <c r="D58" t="s">
        <v>21</v>
      </c>
      <c r="E58" t="s">
        <v>22</v>
      </c>
      <c r="F58">
        <v>109259000</v>
      </c>
      <c r="G58">
        <f>F58* VLOOKUP(A58, '[1]Assumptions Table'!$A$2:$D$5, 4, FALSE)</f>
        <v>346507227.97750795</v>
      </c>
      <c r="H58" s="29" t="str">
        <f t="shared" si="0"/>
        <v>N/A</v>
      </c>
    </row>
    <row r="59" spans="1:8">
      <c r="A59">
        <v>2021</v>
      </c>
      <c r="B59" t="s">
        <v>56</v>
      </c>
      <c r="C59" t="s">
        <v>57</v>
      </c>
      <c r="D59" t="s">
        <v>21</v>
      </c>
      <c r="E59" t="s">
        <v>22</v>
      </c>
      <c r="F59">
        <v>121833999</v>
      </c>
      <c r="G59">
        <f>F59* VLOOKUP(A59, '[1]Assumptions Table'!$A$2:$D$5, 4, FALSE)</f>
        <v>323066849.64630294</v>
      </c>
      <c r="H59" s="29">
        <f t="shared" si="0"/>
        <v>-6.7647588386602273E-2</v>
      </c>
    </row>
    <row r="60" spans="1:8">
      <c r="A60">
        <v>2022</v>
      </c>
      <c r="B60" t="s">
        <v>56</v>
      </c>
      <c r="C60" t="s">
        <v>57</v>
      </c>
      <c r="D60" t="s">
        <v>21</v>
      </c>
      <c r="E60" t="s">
        <v>22</v>
      </c>
      <c r="F60">
        <v>121834000</v>
      </c>
      <c r="G60">
        <f>F60* VLOOKUP(A60, '[1]Assumptions Table'!$A$2:$D$5, 4, FALSE)</f>
        <v>187502526</v>
      </c>
      <c r="H60" s="29">
        <f t="shared" si="0"/>
        <v>-0.41961694242142211</v>
      </c>
    </row>
    <row r="61" spans="1:8">
      <c r="A61">
        <v>2023</v>
      </c>
      <c r="B61" t="s">
        <v>56</v>
      </c>
      <c r="C61" t="s">
        <v>57</v>
      </c>
      <c r="D61" t="s">
        <v>21</v>
      </c>
      <c r="E61" t="s">
        <v>22</v>
      </c>
      <c r="F61">
        <v>4222298940</v>
      </c>
      <c r="G61">
        <f>F61* VLOOKUP(A61, '[1]Assumptions Table'!$A$2:$D$5, 4, FALSE)</f>
        <v>4222298940</v>
      </c>
      <c r="H61" s="29">
        <f t="shared" si="0"/>
        <v>21.518624309093308</v>
      </c>
    </row>
    <row r="62" spans="1:8">
      <c r="A62">
        <v>2020</v>
      </c>
      <c r="B62" t="s">
        <v>114</v>
      </c>
      <c r="C62" t="s">
        <v>115</v>
      </c>
      <c r="D62" t="s">
        <v>21</v>
      </c>
      <c r="E62" t="s">
        <v>22</v>
      </c>
      <c r="F62">
        <v>315000</v>
      </c>
      <c r="G62">
        <f>F62* VLOOKUP(A62, '[1]Assumptions Table'!$A$2:$D$5, 4, FALSE)</f>
        <v>999000.32777999982</v>
      </c>
      <c r="H62" s="29" t="str">
        <f t="shared" si="0"/>
        <v>N/A</v>
      </c>
    </row>
    <row r="63" spans="1:8">
      <c r="A63">
        <v>2021</v>
      </c>
      <c r="B63" t="s">
        <v>114</v>
      </c>
      <c r="C63" t="s">
        <v>115</v>
      </c>
      <c r="D63" t="s">
        <v>21</v>
      </c>
      <c r="E63" t="s">
        <v>22</v>
      </c>
      <c r="F63">
        <v>631678</v>
      </c>
      <c r="G63">
        <f>F63* VLOOKUP(A63, '[1]Assumptions Table'!$A$2:$D$5, 4, FALSE)</f>
        <v>1675018.6575659998</v>
      </c>
      <c r="H63" s="29">
        <f t="shared" si="0"/>
        <v>0.67669480278175942</v>
      </c>
    </row>
    <row r="64" spans="1:8">
      <c r="A64">
        <v>2022</v>
      </c>
      <c r="B64" t="s">
        <v>114</v>
      </c>
      <c r="C64" t="s">
        <v>115</v>
      </c>
      <c r="D64" t="s">
        <v>21</v>
      </c>
      <c r="E64" t="s">
        <v>22</v>
      </c>
      <c r="F64">
        <v>1407432980</v>
      </c>
      <c r="G64">
        <f>F64* VLOOKUP(A64, '[1]Assumptions Table'!$A$2:$D$5, 4, FALSE)</f>
        <v>2166039356.2199998</v>
      </c>
      <c r="H64" s="29">
        <f t="shared" si="0"/>
        <v>1292.1434204843492</v>
      </c>
    </row>
    <row r="65" spans="1:8">
      <c r="A65">
        <v>2023</v>
      </c>
      <c r="B65" t="s">
        <v>114</v>
      </c>
      <c r="C65" t="s">
        <v>115</v>
      </c>
      <c r="D65" t="s">
        <v>21</v>
      </c>
      <c r="E65" t="s">
        <v>22</v>
      </c>
      <c r="F65">
        <v>1407432980</v>
      </c>
      <c r="G65">
        <f>F65* VLOOKUP(A65, '[1]Assumptions Table'!$A$2:$D$5, 4, FALSE)</f>
        <v>1407432980</v>
      </c>
      <c r="H65" s="29">
        <f t="shared" si="0"/>
        <v>-0.35022742040285892</v>
      </c>
    </row>
    <row r="66" spans="1:8">
      <c r="A66">
        <v>2020</v>
      </c>
      <c r="B66" t="s">
        <v>98</v>
      </c>
      <c r="C66" t="s">
        <v>99</v>
      </c>
      <c r="D66" t="s">
        <v>21</v>
      </c>
      <c r="E66" t="s">
        <v>22</v>
      </c>
      <c r="F66">
        <v>11281790</v>
      </c>
      <c r="G66">
        <f>F66* VLOOKUP(A66, '[1]Assumptions Table'!$A$2:$D$5, 4, FALSE)</f>
        <v>35779402.882365473</v>
      </c>
      <c r="H66" s="29" t="str">
        <f t="shared" ref="H66:H105" si="1">IF(B66="","", IF(B66=B65, (G66-G65)/G65, "N/A"))</f>
        <v>N/A</v>
      </c>
    </row>
    <row r="67" spans="1:8">
      <c r="A67">
        <v>2021</v>
      </c>
      <c r="B67" t="s">
        <v>98</v>
      </c>
      <c r="C67" t="s">
        <v>99</v>
      </c>
      <c r="D67" t="s">
        <v>21</v>
      </c>
      <c r="E67" t="s">
        <v>22</v>
      </c>
      <c r="F67">
        <v>17483818</v>
      </c>
      <c r="G67">
        <f>F67* VLOOKUP(A67, '[1]Assumptions Table'!$A$2:$D$5, 4, FALSE)</f>
        <v>46361787.739145994</v>
      </c>
      <c r="H67" s="29">
        <f t="shared" si="1"/>
        <v>0.29576750879753338</v>
      </c>
    </row>
    <row r="68" spans="1:8">
      <c r="A68">
        <v>2022</v>
      </c>
      <c r="B68" t="s">
        <v>98</v>
      </c>
      <c r="C68" t="s">
        <v>99</v>
      </c>
      <c r="D68" t="s">
        <v>21</v>
      </c>
      <c r="E68" t="s">
        <v>22</v>
      </c>
      <c r="F68">
        <v>35870962</v>
      </c>
      <c r="G68">
        <f>F68* VLOOKUP(A68, '[1]Assumptions Table'!$A$2:$D$5, 4, FALSE)</f>
        <v>55205410.517999999</v>
      </c>
      <c r="H68" s="29">
        <f t="shared" si="1"/>
        <v>0.19075241077010524</v>
      </c>
    </row>
    <row r="69" spans="1:8">
      <c r="A69">
        <v>2023</v>
      </c>
      <c r="B69" t="s">
        <v>98</v>
      </c>
      <c r="C69" t="s">
        <v>99</v>
      </c>
      <c r="D69" t="s">
        <v>21</v>
      </c>
      <c r="E69" t="s">
        <v>22</v>
      </c>
      <c r="F69">
        <v>66886545</v>
      </c>
      <c r="G69">
        <f>F69* VLOOKUP(A69, '[1]Assumptions Table'!$A$2:$D$5, 4, FALSE)</f>
        <v>66886545</v>
      </c>
      <c r="H69" s="29">
        <f t="shared" si="1"/>
        <v>0.21159401537628833</v>
      </c>
    </row>
    <row r="70" spans="1:8">
      <c r="A70">
        <v>2020</v>
      </c>
      <c r="B70" t="s">
        <v>82</v>
      </c>
      <c r="C70" t="s">
        <v>83</v>
      </c>
      <c r="D70" t="s">
        <v>21</v>
      </c>
      <c r="E70" t="s">
        <v>22</v>
      </c>
      <c r="F70">
        <v>3820849</v>
      </c>
      <c r="G70">
        <f>F70* VLOOKUP(A70, '[1]Assumptions Table'!$A$2:$D$5, 4, FALSE)</f>
        <v>12117553.661580585</v>
      </c>
      <c r="H70" s="29" t="str">
        <f t="shared" si="1"/>
        <v>N/A</v>
      </c>
    </row>
    <row r="71" spans="1:8">
      <c r="A71">
        <v>2021</v>
      </c>
      <c r="B71" t="s">
        <v>82</v>
      </c>
      <c r="C71" t="s">
        <v>83</v>
      </c>
      <c r="D71" t="s">
        <v>21</v>
      </c>
      <c r="E71" t="s">
        <v>22</v>
      </c>
      <c r="F71">
        <v>3365156</v>
      </c>
      <c r="G71">
        <f>F71* VLOOKUP(A71, '[1]Assumptions Table'!$A$2:$D$5, 4, FALSE)</f>
        <v>8923374.0697319992</v>
      </c>
      <c r="H71" s="29">
        <f t="shared" si="1"/>
        <v>-0.26359937666097732</v>
      </c>
    </row>
    <row r="72" spans="1:8">
      <c r="A72">
        <v>2022</v>
      </c>
      <c r="B72" t="s">
        <v>82</v>
      </c>
      <c r="C72" t="s">
        <v>83</v>
      </c>
      <c r="D72" t="s">
        <v>21</v>
      </c>
      <c r="E72" t="s">
        <v>22</v>
      </c>
      <c r="F72">
        <v>5861730</v>
      </c>
      <c r="G72">
        <f>F72* VLOOKUP(A72, '[1]Assumptions Table'!$A$2:$D$5, 4, FALSE)</f>
        <v>9021202.4699999988</v>
      </c>
      <c r="H72" s="29">
        <f t="shared" si="1"/>
        <v>1.0963162532862164E-2</v>
      </c>
    </row>
    <row r="73" spans="1:8">
      <c r="A73">
        <v>2023</v>
      </c>
      <c r="B73" t="s">
        <v>82</v>
      </c>
      <c r="C73" t="s">
        <v>83</v>
      </c>
      <c r="D73" t="s">
        <v>21</v>
      </c>
      <c r="E73" t="s">
        <v>22</v>
      </c>
      <c r="F73">
        <v>4294332</v>
      </c>
      <c r="G73">
        <f>F73* VLOOKUP(A73, '[1]Assumptions Table'!$A$2:$D$5, 4, FALSE)</f>
        <v>4294332</v>
      </c>
      <c r="H73" s="29">
        <f t="shared" si="1"/>
        <v>-0.52397343765636595</v>
      </c>
    </row>
    <row r="74" spans="1:8">
      <c r="A74">
        <v>2020</v>
      </c>
      <c r="B74" t="s">
        <v>34</v>
      </c>
      <c r="C74" t="s">
        <v>35</v>
      </c>
      <c r="D74" t="s">
        <v>21</v>
      </c>
      <c r="E74" t="s">
        <v>22</v>
      </c>
      <c r="F74">
        <v>271493</v>
      </c>
      <c r="G74">
        <f>F74* VLOOKUP(A74, '[1]Assumptions Table'!$A$2:$D$5, 4, FALSE)</f>
        <v>861020.93965071579</v>
      </c>
      <c r="H74" s="29" t="str">
        <f t="shared" si="1"/>
        <v>N/A</v>
      </c>
    </row>
    <row r="75" spans="1:8">
      <c r="A75">
        <v>2021</v>
      </c>
      <c r="B75" t="s">
        <v>34</v>
      </c>
      <c r="C75" t="s">
        <v>35</v>
      </c>
      <c r="D75" t="s">
        <v>21</v>
      </c>
      <c r="E75" t="s">
        <v>22</v>
      </c>
      <c r="F75">
        <v>298678</v>
      </c>
      <c r="G75">
        <f>F75* VLOOKUP(A75, '[1]Assumptions Table'!$A$2:$D$5, 4, FALSE)</f>
        <v>792003.55656599987</v>
      </c>
      <c r="H75" s="29">
        <f t="shared" si="1"/>
        <v>-8.0157612790129951E-2</v>
      </c>
    </row>
    <row r="76" spans="1:8">
      <c r="A76">
        <v>2022</v>
      </c>
      <c r="B76" t="s">
        <v>34</v>
      </c>
      <c r="C76" t="s">
        <v>35</v>
      </c>
      <c r="D76" t="s">
        <v>21</v>
      </c>
      <c r="E76" t="s">
        <v>22</v>
      </c>
      <c r="F76">
        <v>342362</v>
      </c>
      <c r="G76">
        <f>F76* VLOOKUP(A76, '[1]Assumptions Table'!$A$2:$D$5, 4, FALSE)</f>
        <v>526895.11800000002</v>
      </c>
      <c r="H76" s="29">
        <f t="shared" si="1"/>
        <v>-0.33473137382800078</v>
      </c>
    </row>
    <row r="77" spans="1:8">
      <c r="A77">
        <v>2023</v>
      </c>
      <c r="B77" t="s">
        <v>34</v>
      </c>
      <c r="C77" t="s">
        <v>35</v>
      </c>
      <c r="D77" t="s">
        <v>21</v>
      </c>
      <c r="E77" t="s">
        <v>22</v>
      </c>
      <c r="F77">
        <v>315848</v>
      </c>
      <c r="G77">
        <f>F77* VLOOKUP(A77, '[1]Assumptions Table'!$A$2:$D$5, 4, FALSE)</f>
        <v>315848</v>
      </c>
      <c r="H77" s="29">
        <f t="shared" si="1"/>
        <v>-0.40054863062898982</v>
      </c>
    </row>
    <row r="78" spans="1:8">
      <c r="A78">
        <v>2020</v>
      </c>
      <c r="B78" t="s">
        <v>87</v>
      </c>
      <c r="C78" t="s">
        <v>88</v>
      </c>
      <c r="D78" t="s">
        <v>21</v>
      </c>
      <c r="E78" t="s">
        <v>31</v>
      </c>
      <c r="F78">
        <v>537035</v>
      </c>
      <c r="G78">
        <f>F78* VLOOKUP(A78, '[1]Assumptions Table'!$A$2:$D$5, 4, FALSE)</f>
        <v>1703168.7016804197</v>
      </c>
      <c r="H78" s="29" t="str">
        <f t="shared" si="1"/>
        <v>N/A</v>
      </c>
    </row>
    <row r="79" spans="1:8">
      <c r="A79">
        <v>2021</v>
      </c>
      <c r="B79" t="s">
        <v>87</v>
      </c>
      <c r="C79" t="s">
        <v>88</v>
      </c>
      <c r="D79" t="s">
        <v>21</v>
      </c>
      <c r="E79" t="s">
        <v>31</v>
      </c>
      <c r="F79">
        <v>577147</v>
      </c>
      <c r="G79">
        <f>F79* VLOOKUP(A79, '[1]Assumptions Table'!$A$2:$D$5, 4, FALSE)</f>
        <v>1530418.9684589996</v>
      </c>
      <c r="H79" s="29">
        <f t="shared" si="1"/>
        <v>-0.10142843339651424</v>
      </c>
    </row>
    <row r="80" spans="1:8">
      <c r="A80">
        <v>2022</v>
      </c>
      <c r="B80" t="s">
        <v>87</v>
      </c>
      <c r="C80" t="s">
        <v>88</v>
      </c>
      <c r="D80" t="s">
        <v>21</v>
      </c>
      <c r="E80" t="s">
        <v>31</v>
      </c>
      <c r="F80">
        <v>605000</v>
      </c>
      <c r="G80">
        <f>F80* VLOOKUP(A80, '[1]Assumptions Table'!$A$2:$D$5, 4, FALSE)</f>
        <v>931095</v>
      </c>
      <c r="H80" s="29">
        <f t="shared" si="1"/>
        <v>-0.39160777591672652</v>
      </c>
    </row>
    <row r="81" spans="1:8">
      <c r="A81">
        <v>2023</v>
      </c>
      <c r="B81" t="s">
        <v>87</v>
      </c>
      <c r="C81" t="s">
        <v>88</v>
      </c>
      <c r="D81" t="s">
        <v>21</v>
      </c>
      <c r="E81" t="s">
        <v>31</v>
      </c>
      <c r="F81">
        <v>634600</v>
      </c>
      <c r="G81">
        <f>F81* VLOOKUP(A81, '[1]Assumptions Table'!$A$2:$D$5, 4, FALSE)</f>
        <v>634600</v>
      </c>
      <c r="H81" s="29">
        <f t="shared" si="1"/>
        <v>-0.31843689419446997</v>
      </c>
    </row>
    <row r="82" spans="1:8">
      <c r="A82">
        <v>2020</v>
      </c>
      <c r="B82" t="s">
        <v>28</v>
      </c>
      <c r="C82" t="s">
        <v>29</v>
      </c>
      <c r="D82" t="s">
        <v>30</v>
      </c>
      <c r="E82" t="s">
        <v>31</v>
      </c>
      <c r="F82">
        <v>358023</v>
      </c>
      <c r="G82">
        <f>F82* VLOOKUP(A82, '[1]Assumptions Table'!$A$2:$D$5, 4, FALSE)</f>
        <v>1135444.7439770757</v>
      </c>
      <c r="H82" s="29" t="str">
        <f t="shared" si="1"/>
        <v>N/A</v>
      </c>
    </row>
    <row r="83" spans="1:8">
      <c r="A83">
        <v>2021</v>
      </c>
      <c r="B83" t="s">
        <v>28</v>
      </c>
      <c r="C83" t="s">
        <v>29</v>
      </c>
      <c r="D83" t="s">
        <v>30</v>
      </c>
      <c r="E83" t="s">
        <v>31</v>
      </c>
      <c r="F83">
        <v>364765</v>
      </c>
      <c r="G83">
        <f>F83* VLOOKUP(A83, '[1]Assumptions Table'!$A$2:$D$5, 4, FALSE)</f>
        <v>967246.25620499987</v>
      </c>
      <c r="H83" s="29">
        <f t="shared" si="1"/>
        <v>-0.14813445450716858</v>
      </c>
    </row>
    <row r="84" spans="1:8">
      <c r="A84">
        <v>2022</v>
      </c>
      <c r="B84" t="s">
        <v>28</v>
      </c>
      <c r="C84" t="s">
        <v>29</v>
      </c>
      <c r="D84" t="s">
        <v>30</v>
      </c>
      <c r="E84" t="s">
        <v>31</v>
      </c>
      <c r="F84">
        <v>403000</v>
      </c>
      <c r="G84">
        <f>F84* VLOOKUP(A84, '[1]Assumptions Table'!$A$2:$D$5, 4, FALSE)</f>
        <v>620217</v>
      </c>
      <c r="H84" s="29">
        <f t="shared" si="1"/>
        <v>-0.35878066622513749</v>
      </c>
    </row>
    <row r="85" spans="1:8">
      <c r="A85">
        <v>2023</v>
      </c>
      <c r="B85" t="s">
        <v>28</v>
      </c>
      <c r="C85" t="s">
        <v>29</v>
      </c>
      <c r="D85" t="s">
        <v>30</v>
      </c>
      <c r="E85" t="s">
        <v>31</v>
      </c>
      <c r="F85">
        <v>422000</v>
      </c>
      <c r="G85">
        <f>F85* VLOOKUP(A85, '[1]Assumptions Table'!$A$2:$D$5, 4, FALSE)</f>
        <v>422000</v>
      </c>
      <c r="H85" s="29">
        <f t="shared" si="1"/>
        <v>-0.31959298116626922</v>
      </c>
    </row>
    <row r="86" spans="1:8">
      <c r="A86">
        <v>2020</v>
      </c>
      <c r="B86" t="s">
        <v>69</v>
      </c>
      <c r="C86" t="s">
        <v>70</v>
      </c>
      <c r="D86" t="s">
        <v>21</v>
      </c>
      <c r="E86" t="s">
        <v>22</v>
      </c>
      <c r="F86">
        <v>703716490</v>
      </c>
      <c r="G86">
        <f>F86* VLOOKUP(A86, '[1]Assumptions Table'!$A$2:$D$5, 4, FALSE)</f>
        <v>2231787314.8387012</v>
      </c>
      <c r="H86" s="29" t="str">
        <f t="shared" si="1"/>
        <v>N/A</v>
      </c>
    </row>
    <row r="87" spans="1:8">
      <c r="A87">
        <v>2021</v>
      </c>
      <c r="B87" t="s">
        <v>69</v>
      </c>
      <c r="C87" t="s">
        <v>70</v>
      </c>
      <c r="D87" t="s">
        <v>21</v>
      </c>
      <c r="E87" t="s">
        <v>22</v>
      </c>
      <c r="F87">
        <v>703716490</v>
      </c>
      <c r="G87">
        <f>F87* VLOOKUP(A87, '[1]Assumptions Table'!$A$2:$D$5, 4, FALSE)</f>
        <v>1866042905.3835297</v>
      </c>
      <c r="H87" s="29">
        <f t="shared" si="1"/>
        <v>-0.16387959866220728</v>
      </c>
    </row>
    <row r="88" spans="1:8">
      <c r="A88">
        <v>2022</v>
      </c>
      <c r="B88" t="s">
        <v>69</v>
      </c>
      <c r="C88" t="s">
        <v>70</v>
      </c>
      <c r="D88" t="s">
        <v>21</v>
      </c>
      <c r="E88" t="s">
        <v>22</v>
      </c>
      <c r="F88">
        <v>703716490</v>
      </c>
      <c r="G88">
        <f>F88* VLOOKUP(A88, '[1]Assumptions Table'!$A$2:$D$5, 4, FALSE)</f>
        <v>1083019678.1099999</v>
      </c>
      <c r="H88" s="29">
        <f t="shared" si="1"/>
        <v>-0.41961694718514214</v>
      </c>
    </row>
    <row r="89" spans="1:8">
      <c r="A89">
        <v>2023</v>
      </c>
      <c r="B89" t="s">
        <v>69</v>
      </c>
      <c r="C89" t="s">
        <v>70</v>
      </c>
      <c r="D89" t="s">
        <v>21</v>
      </c>
      <c r="E89" t="s">
        <v>22</v>
      </c>
      <c r="F89">
        <v>703716490</v>
      </c>
      <c r="G89">
        <f>F89* VLOOKUP(A89, '[1]Assumptions Table'!$A$2:$D$5, 4, FALSE)</f>
        <v>703716490</v>
      </c>
      <c r="H89" s="29">
        <f t="shared" si="1"/>
        <v>-0.35022742040285892</v>
      </c>
    </row>
    <row r="90" spans="1:8">
      <c r="A90">
        <v>2020</v>
      </c>
      <c r="B90" t="s">
        <v>65</v>
      </c>
      <c r="C90" t="s">
        <v>66</v>
      </c>
      <c r="D90" t="s">
        <v>30</v>
      </c>
      <c r="E90" t="s">
        <v>22</v>
      </c>
      <c r="F90">
        <v>740742000</v>
      </c>
      <c r="G90">
        <f>F90* VLOOKUP(A90, '[1]Assumptions Table'!$A$2:$D$5, 4, FALSE)</f>
        <v>2349211113.6521034</v>
      </c>
      <c r="H90" s="29" t="str">
        <f t="shared" si="1"/>
        <v>N/A</v>
      </c>
    </row>
    <row r="91" spans="1:8">
      <c r="A91">
        <v>2021</v>
      </c>
      <c r="B91" t="s">
        <v>65</v>
      </c>
      <c r="C91" t="s">
        <v>66</v>
      </c>
      <c r="D91" t="s">
        <v>30</v>
      </c>
      <c r="E91" t="s">
        <v>22</v>
      </c>
      <c r="F91">
        <v>1313650000</v>
      </c>
      <c r="G91">
        <f>F91* VLOOKUP(A91, '[1]Assumptions Table'!$A$2:$D$5, 4, FALSE)</f>
        <v>3483401764.0499992</v>
      </c>
      <c r="H91" s="29">
        <f t="shared" si="1"/>
        <v>0.48279639228961141</v>
      </c>
    </row>
    <row r="92" spans="1:8">
      <c r="A92">
        <v>2022</v>
      </c>
      <c r="B92" t="s">
        <v>65</v>
      </c>
      <c r="C92" t="s">
        <v>66</v>
      </c>
      <c r="D92" t="s">
        <v>30</v>
      </c>
      <c r="E92" t="s">
        <v>22</v>
      </c>
      <c r="F92">
        <v>10293509000</v>
      </c>
      <c r="G92">
        <f>F92* VLOOKUP(A92, '[1]Assumptions Table'!$A$2:$D$5, 4, FALSE)</f>
        <v>15841710351</v>
      </c>
      <c r="H92" s="29">
        <f t="shared" si="1"/>
        <v>3.5477700891388233</v>
      </c>
    </row>
    <row r="93" spans="1:8">
      <c r="A93">
        <v>2023</v>
      </c>
      <c r="B93" t="s">
        <v>65</v>
      </c>
      <c r="C93" t="s">
        <v>66</v>
      </c>
      <c r="D93" t="s">
        <v>30</v>
      </c>
      <c r="E93" t="s">
        <v>22</v>
      </c>
      <c r="F93">
        <v>9595353000</v>
      </c>
      <c r="G93">
        <f>F93* VLOOKUP(A93, '[1]Assumptions Table'!$A$2:$D$5, 4, FALSE)</f>
        <v>9595353000</v>
      </c>
      <c r="H93" s="29">
        <f t="shared" si="1"/>
        <v>-0.394298166839397</v>
      </c>
    </row>
    <row r="94" spans="1:8">
      <c r="A94">
        <v>2020</v>
      </c>
      <c r="B94" t="s">
        <v>96</v>
      </c>
      <c r="C94" t="s">
        <v>97</v>
      </c>
      <c r="D94" t="s">
        <v>30</v>
      </c>
      <c r="E94" t="s">
        <v>22</v>
      </c>
      <c r="F94">
        <v>2111149470</v>
      </c>
      <c r="G94">
        <f>F94* VLOOKUP(A94, '[1]Assumptions Table'!$A$2:$D$5, 4, FALSE)</f>
        <v>6695361944.5161047</v>
      </c>
      <c r="H94" s="29" t="str">
        <f t="shared" si="1"/>
        <v>N/A</v>
      </c>
    </row>
    <row r="95" spans="1:8">
      <c r="A95">
        <v>2021</v>
      </c>
      <c r="B95" t="s">
        <v>96</v>
      </c>
      <c r="C95" t="s">
        <v>97</v>
      </c>
      <c r="D95" t="s">
        <v>30</v>
      </c>
      <c r="E95" t="s">
        <v>22</v>
      </c>
      <c r="F95">
        <v>2111149470</v>
      </c>
      <c r="G95">
        <f>F95* VLOOKUP(A95, '[1]Assumptions Table'!$A$2:$D$5, 4, FALSE)</f>
        <v>5598128716.150589</v>
      </c>
      <c r="H95" s="29">
        <f t="shared" si="1"/>
        <v>-0.16387959866220739</v>
      </c>
    </row>
    <row r="96" spans="1:8">
      <c r="A96">
        <v>2022</v>
      </c>
      <c r="B96" t="s">
        <v>96</v>
      </c>
      <c r="C96" t="s">
        <v>97</v>
      </c>
      <c r="D96" t="s">
        <v>30</v>
      </c>
      <c r="E96" t="s">
        <v>22</v>
      </c>
      <c r="F96">
        <v>2111149470</v>
      </c>
      <c r="G96">
        <f>F96* VLOOKUP(A96, '[1]Assumptions Table'!$A$2:$D$5, 4, FALSE)</f>
        <v>3249059034.3299999</v>
      </c>
      <c r="H96" s="29">
        <f t="shared" si="1"/>
        <v>-0.41961694718514209</v>
      </c>
    </row>
    <row r="97" spans="1:8">
      <c r="A97">
        <v>2023</v>
      </c>
      <c r="B97" t="s">
        <v>96</v>
      </c>
      <c r="C97" t="s">
        <v>97</v>
      </c>
      <c r="D97" t="s">
        <v>30</v>
      </c>
      <c r="E97" t="s">
        <v>22</v>
      </c>
      <c r="F97">
        <v>2111149470</v>
      </c>
      <c r="G97">
        <f>F97* VLOOKUP(A97, '[1]Assumptions Table'!$A$2:$D$5, 4, FALSE)</f>
        <v>2111149470</v>
      </c>
      <c r="H97" s="29">
        <f t="shared" si="1"/>
        <v>-0.35022742040285898</v>
      </c>
    </row>
    <row r="98" spans="1:8">
      <c r="A98">
        <v>2020</v>
      </c>
      <c r="B98" t="s">
        <v>19</v>
      </c>
      <c r="C98" t="s">
        <v>20</v>
      </c>
      <c r="D98" t="s">
        <v>21</v>
      </c>
      <c r="E98" t="s">
        <v>22</v>
      </c>
      <c r="F98">
        <v>22588018</v>
      </c>
      <c r="G98">
        <f>F98* VLOOKUP(A98, '[1]Assumptions Table'!$A$2:$D$5, 4, FALSE)</f>
        <v>71636309.161588997</v>
      </c>
      <c r="H98" s="29" t="str">
        <f t="shared" si="1"/>
        <v>N/A</v>
      </c>
    </row>
    <row r="99" spans="1:8">
      <c r="A99">
        <v>2021</v>
      </c>
      <c r="B99" t="s">
        <v>19</v>
      </c>
      <c r="C99" t="s">
        <v>20</v>
      </c>
      <c r="D99" t="s">
        <v>21</v>
      </c>
      <c r="E99" t="s">
        <v>22</v>
      </c>
      <c r="F99">
        <v>40726371</v>
      </c>
      <c r="G99">
        <f>F99* VLOOKUP(A99, '[1]Assumptions Table'!$A$2:$D$5, 4, FALSE)</f>
        <v>107993995.80158699</v>
      </c>
      <c r="H99" s="29">
        <f t="shared" si="1"/>
        <v>0.50753154462475836</v>
      </c>
    </row>
    <row r="100" spans="1:8">
      <c r="A100">
        <v>2022</v>
      </c>
      <c r="B100" t="s">
        <v>19</v>
      </c>
      <c r="C100" t="s">
        <v>20</v>
      </c>
      <c r="D100" t="s">
        <v>21</v>
      </c>
      <c r="E100" t="s">
        <v>22</v>
      </c>
      <c r="F100">
        <v>25419007</v>
      </c>
      <c r="G100">
        <f>F100* VLOOKUP(A100, '[1]Assumptions Table'!$A$2:$D$5, 4, FALSE)</f>
        <v>39119851.772999994</v>
      </c>
      <c r="H100" s="29">
        <f t="shared" si="1"/>
        <v>-0.63775901166882154</v>
      </c>
    </row>
    <row r="101" spans="1:8">
      <c r="A101">
        <v>2023</v>
      </c>
      <c r="B101" t="s">
        <v>19</v>
      </c>
      <c r="C101" t="s">
        <v>20</v>
      </c>
      <c r="D101" t="s">
        <v>21</v>
      </c>
      <c r="E101" t="s">
        <v>22</v>
      </c>
      <c r="F101">
        <v>710565843</v>
      </c>
      <c r="G101">
        <f>F101* VLOOKUP(A101, '[1]Assumptions Table'!$A$2:$D$5, 4, FALSE)</f>
        <v>710565843</v>
      </c>
      <c r="H101" s="29">
        <f t="shared" si="1"/>
        <v>17.163817366261679</v>
      </c>
    </row>
    <row r="102" spans="1:8">
      <c r="A102">
        <v>2020</v>
      </c>
      <c r="B102" t="s">
        <v>42</v>
      </c>
      <c r="C102" t="s">
        <v>43</v>
      </c>
      <c r="D102" t="s">
        <v>21</v>
      </c>
      <c r="E102" t="s">
        <v>22</v>
      </c>
      <c r="F102">
        <v>290333</v>
      </c>
      <c r="G102">
        <f>F102* VLOOKUP(A102, '[1]Assumptions Table'!$A$2:$D$5, 4, FALSE)</f>
        <v>920770.6735407958</v>
      </c>
      <c r="H102" s="29" t="str">
        <f t="shared" si="1"/>
        <v>N/A</v>
      </c>
    </row>
    <row r="103" spans="1:8">
      <c r="A103">
        <v>2021</v>
      </c>
      <c r="B103" t="s">
        <v>42</v>
      </c>
      <c r="C103" t="s">
        <v>43</v>
      </c>
      <c r="D103" t="s">
        <v>21</v>
      </c>
      <c r="E103" t="s">
        <v>22</v>
      </c>
      <c r="F103">
        <v>486487</v>
      </c>
      <c r="G103">
        <f>F103* VLOOKUP(A103, '[1]Assumptions Table'!$A$2:$D$5, 4, FALSE)</f>
        <v>1290016.1184389999</v>
      </c>
      <c r="H103" s="29">
        <f t="shared" si="1"/>
        <v>0.40101781638883205</v>
      </c>
    </row>
    <row r="104" spans="1:8">
      <c r="A104">
        <v>2022</v>
      </c>
      <c r="B104" t="s">
        <v>42</v>
      </c>
      <c r="C104" t="s">
        <v>43</v>
      </c>
      <c r="D104" t="s">
        <v>21</v>
      </c>
      <c r="E104" t="s">
        <v>22</v>
      </c>
      <c r="F104">
        <v>2628805</v>
      </c>
      <c r="G104">
        <f>F104* VLOOKUP(A104, '[1]Assumptions Table'!$A$2:$D$5, 4, FALSE)</f>
        <v>4045730.895</v>
      </c>
      <c r="H104" s="29">
        <f t="shared" si="1"/>
        <v>2.1361863136218697</v>
      </c>
    </row>
    <row r="105" spans="1:8">
      <c r="A105">
        <v>2023</v>
      </c>
      <c r="B105" t="s">
        <v>42</v>
      </c>
      <c r="C105" t="s">
        <v>43</v>
      </c>
      <c r="D105" t="s">
        <v>21</v>
      </c>
      <c r="E105" t="s">
        <v>22</v>
      </c>
      <c r="F105">
        <v>705862959</v>
      </c>
      <c r="G105">
        <f>F105* VLOOKUP(A105, '[1]Assumptions Table'!$A$2:$D$5, 4, FALSE)</f>
        <v>705862959</v>
      </c>
      <c r="H105" s="29">
        <f t="shared" si="1"/>
        <v>173.47106031504848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B5C6-A483-4492-99C4-DE163E71DF9D}">
  <dimension ref="A3:B324"/>
  <sheetViews>
    <sheetView workbookViewId="0">
      <selection activeCell="B3" sqref="B3"/>
    </sheetView>
  </sheetViews>
  <sheetFormatPr defaultRowHeight="14.5"/>
  <cols>
    <col min="1" max="2" width="31.54296875" bestFit="1" customWidth="1"/>
  </cols>
  <sheetData>
    <row r="3" spans="1:2">
      <c r="A3" s="30" t="s">
        <v>172</v>
      </c>
      <c r="B3" t="s">
        <v>175</v>
      </c>
    </row>
    <row r="4" spans="1:2">
      <c r="A4" s="31">
        <v>2020</v>
      </c>
      <c r="B4" s="35">
        <v>27846709056</v>
      </c>
    </row>
    <row r="5" spans="1:2">
      <c r="A5" s="32" t="s">
        <v>78</v>
      </c>
      <c r="B5" s="35">
        <v>1500000000</v>
      </c>
    </row>
    <row r="6" spans="1:2">
      <c r="A6" s="33" t="s">
        <v>17</v>
      </c>
      <c r="B6" s="35">
        <v>1500000000</v>
      </c>
    </row>
    <row r="7" spans="1:2">
      <c r="A7" s="34" t="s">
        <v>31</v>
      </c>
      <c r="B7" s="35">
        <v>1500000000</v>
      </c>
    </row>
    <row r="8" spans="1:2">
      <c r="A8" s="32" t="s">
        <v>59</v>
      </c>
      <c r="B8" s="35">
        <v>1215000000</v>
      </c>
    </row>
    <row r="9" spans="1:2">
      <c r="A9" s="33" t="s">
        <v>17</v>
      </c>
      <c r="B9" s="35">
        <v>1215000000</v>
      </c>
    </row>
    <row r="10" spans="1:2">
      <c r="A10" s="34" t="s">
        <v>31</v>
      </c>
      <c r="B10" s="35">
        <v>1215000000</v>
      </c>
    </row>
    <row r="11" spans="1:2">
      <c r="A11" s="32" t="s">
        <v>28</v>
      </c>
      <c r="B11" s="35">
        <v>358023</v>
      </c>
    </row>
    <row r="12" spans="1:2">
      <c r="A12" s="33" t="s">
        <v>17</v>
      </c>
      <c r="B12" s="35">
        <v>358023</v>
      </c>
    </row>
    <row r="13" spans="1:2">
      <c r="A13" s="34" t="s">
        <v>31</v>
      </c>
      <c r="B13" s="35">
        <v>358023</v>
      </c>
    </row>
    <row r="14" spans="1:2">
      <c r="A14" s="32" t="s">
        <v>67</v>
      </c>
      <c r="B14" s="35">
        <v>2814865960</v>
      </c>
    </row>
    <row r="15" spans="1:2">
      <c r="A15" s="33" t="s">
        <v>17</v>
      </c>
      <c r="B15" s="35">
        <v>2814865960</v>
      </c>
    </row>
    <row r="16" spans="1:2">
      <c r="A16" s="34" t="s">
        <v>31</v>
      </c>
      <c r="B16" s="35">
        <v>2814865960</v>
      </c>
    </row>
    <row r="17" spans="1:2">
      <c r="A17" s="32" t="s">
        <v>56</v>
      </c>
      <c r="B17" s="35">
        <v>109259000</v>
      </c>
    </row>
    <row r="18" spans="1:2">
      <c r="A18" s="33" t="s">
        <v>17</v>
      </c>
      <c r="B18" s="35">
        <v>109259000</v>
      </c>
    </row>
    <row r="19" spans="1:2">
      <c r="A19" s="34" t="s">
        <v>22</v>
      </c>
      <c r="B19" s="35">
        <v>109259000</v>
      </c>
    </row>
    <row r="20" spans="1:2">
      <c r="A20" s="32" t="s">
        <v>87</v>
      </c>
      <c r="B20" s="35">
        <v>537035</v>
      </c>
    </row>
    <row r="21" spans="1:2">
      <c r="A21" s="33" t="s">
        <v>17</v>
      </c>
      <c r="B21" s="35">
        <v>537035</v>
      </c>
    </row>
    <row r="22" spans="1:2">
      <c r="A22" s="34" t="s">
        <v>31</v>
      </c>
      <c r="B22" s="35">
        <v>537035</v>
      </c>
    </row>
    <row r="23" spans="1:2">
      <c r="A23" s="32" t="s">
        <v>105</v>
      </c>
      <c r="B23" s="35">
        <v>2044703655</v>
      </c>
    </row>
    <row r="24" spans="1:2">
      <c r="A24" s="33" t="s">
        <v>17</v>
      </c>
      <c r="B24" s="35">
        <v>2044703655</v>
      </c>
    </row>
    <row r="25" spans="1:2">
      <c r="A25" s="34" t="s">
        <v>31</v>
      </c>
      <c r="B25" s="35">
        <v>2044703655</v>
      </c>
    </row>
    <row r="26" spans="1:2">
      <c r="A26" s="32" t="s">
        <v>44</v>
      </c>
      <c r="B26" s="35">
        <v>633403000</v>
      </c>
    </row>
    <row r="27" spans="1:2">
      <c r="A27" s="33" t="s">
        <v>17</v>
      </c>
      <c r="B27" s="35">
        <v>633403000</v>
      </c>
    </row>
    <row r="28" spans="1:2">
      <c r="A28" s="34" t="s">
        <v>22</v>
      </c>
      <c r="B28" s="35">
        <v>633403000</v>
      </c>
    </row>
    <row r="29" spans="1:2">
      <c r="A29" s="32" t="s">
        <v>65</v>
      </c>
      <c r="B29" s="35">
        <v>740742000</v>
      </c>
    </row>
    <row r="30" spans="1:2">
      <c r="A30" s="33" t="s">
        <v>17</v>
      </c>
      <c r="B30" s="35">
        <v>740742000</v>
      </c>
    </row>
    <row r="31" spans="1:2">
      <c r="A31" s="34" t="s">
        <v>22</v>
      </c>
      <c r="B31" s="35">
        <v>740742000</v>
      </c>
    </row>
    <row r="32" spans="1:2">
      <c r="A32" s="32" t="s">
        <v>96</v>
      </c>
      <c r="B32" s="35">
        <v>2111149470</v>
      </c>
    </row>
    <row r="33" spans="1:2">
      <c r="A33" s="33" t="s">
        <v>17</v>
      </c>
      <c r="B33" s="35">
        <v>2111149470</v>
      </c>
    </row>
    <row r="34" spans="1:2">
      <c r="A34" s="34" t="s">
        <v>22</v>
      </c>
      <c r="B34" s="35">
        <v>2111149470</v>
      </c>
    </row>
    <row r="35" spans="1:2">
      <c r="A35" s="32" t="s">
        <v>69</v>
      </c>
      <c r="B35" s="35">
        <v>703716490</v>
      </c>
    </row>
    <row r="36" spans="1:2">
      <c r="A36" s="33" t="s">
        <v>17</v>
      </c>
      <c r="B36" s="35">
        <v>703716490</v>
      </c>
    </row>
    <row r="37" spans="1:2">
      <c r="A37" s="34" t="s">
        <v>22</v>
      </c>
      <c r="B37" s="35">
        <v>703716490</v>
      </c>
    </row>
    <row r="38" spans="1:2">
      <c r="A38" s="32" t="s">
        <v>101</v>
      </c>
      <c r="B38" s="35">
        <v>2242754000</v>
      </c>
    </row>
    <row r="39" spans="1:2">
      <c r="A39" s="33" t="s">
        <v>17</v>
      </c>
      <c r="B39" s="35">
        <v>2242754000</v>
      </c>
    </row>
    <row r="40" spans="1:2">
      <c r="A40" s="34" t="s">
        <v>22</v>
      </c>
      <c r="B40" s="35">
        <v>2242754000</v>
      </c>
    </row>
    <row r="41" spans="1:2">
      <c r="A41" s="32" t="s">
        <v>38</v>
      </c>
      <c r="B41" s="35">
        <v>2111149470</v>
      </c>
    </row>
    <row r="42" spans="1:2">
      <c r="A42" s="33" t="s">
        <v>17</v>
      </c>
      <c r="B42" s="35">
        <v>2111149470</v>
      </c>
    </row>
    <row r="43" spans="1:2">
      <c r="A43" s="34" t="s">
        <v>22</v>
      </c>
      <c r="B43" s="35">
        <v>2111149470</v>
      </c>
    </row>
    <row r="44" spans="1:2">
      <c r="A44" s="32" t="s">
        <v>51</v>
      </c>
      <c r="B44" s="35">
        <v>1407432980</v>
      </c>
    </row>
    <row r="45" spans="1:2">
      <c r="A45" s="33" t="s">
        <v>17</v>
      </c>
      <c r="B45" s="35">
        <v>1407432980</v>
      </c>
    </row>
    <row r="46" spans="1:2">
      <c r="A46" s="34" t="s">
        <v>22</v>
      </c>
      <c r="B46" s="35">
        <v>1407432980</v>
      </c>
    </row>
    <row r="47" spans="1:2">
      <c r="A47" s="32" t="s">
        <v>122</v>
      </c>
      <c r="B47" s="35">
        <v>720925000</v>
      </c>
    </row>
    <row r="48" spans="1:2">
      <c r="A48" s="33" t="s">
        <v>17</v>
      </c>
      <c r="B48" s="35">
        <v>720925000</v>
      </c>
    </row>
    <row r="49" spans="1:2">
      <c r="A49" s="34" t="s">
        <v>22</v>
      </c>
      <c r="B49" s="35">
        <v>720925000</v>
      </c>
    </row>
    <row r="50" spans="1:2">
      <c r="A50" s="32" t="s">
        <v>85</v>
      </c>
      <c r="B50" s="35">
        <v>703716490</v>
      </c>
    </row>
    <row r="51" spans="1:2">
      <c r="A51" s="33" t="s">
        <v>17</v>
      </c>
      <c r="B51" s="35">
        <v>703716490</v>
      </c>
    </row>
    <row r="52" spans="1:2">
      <c r="A52" s="34" t="s">
        <v>22</v>
      </c>
      <c r="B52" s="35">
        <v>703716490</v>
      </c>
    </row>
    <row r="53" spans="1:2">
      <c r="A53" s="32" t="s">
        <v>47</v>
      </c>
      <c r="B53" s="35">
        <v>8431928000</v>
      </c>
    </row>
    <row r="54" spans="1:2">
      <c r="A54" s="33" t="s">
        <v>17</v>
      </c>
      <c r="B54" s="35">
        <v>8431928000</v>
      </c>
    </row>
    <row r="55" spans="1:2">
      <c r="A55" s="34" t="s">
        <v>22</v>
      </c>
      <c r="B55" s="35">
        <v>8431928000</v>
      </c>
    </row>
    <row r="56" spans="1:2">
      <c r="A56" s="32" t="s">
        <v>117</v>
      </c>
      <c r="B56" s="35">
        <v>171639000</v>
      </c>
    </row>
    <row r="57" spans="1:2">
      <c r="A57" s="33" t="s">
        <v>17</v>
      </c>
      <c r="B57" s="35">
        <v>171639000</v>
      </c>
    </row>
    <row r="58" spans="1:2">
      <c r="A58" s="34" t="s">
        <v>22</v>
      </c>
      <c r="B58" s="35">
        <v>171639000</v>
      </c>
    </row>
    <row r="59" spans="1:2">
      <c r="A59" s="32" t="s">
        <v>91</v>
      </c>
      <c r="B59" s="35">
        <v>64138000</v>
      </c>
    </row>
    <row r="60" spans="1:2">
      <c r="A60" s="33" t="s">
        <v>17</v>
      </c>
      <c r="B60" s="35">
        <v>64138000</v>
      </c>
    </row>
    <row r="61" spans="1:2">
      <c r="A61" s="34" t="s">
        <v>22</v>
      </c>
      <c r="B61" s="35">
        <v>64138000</v>
      </c>
    </row>
    <row r="62" spans="1:2">
      <c r="A62" s="32" t="s">
        <v>71</v>
      </c>
      <c r="B62" s="35">
        <v>80724000</v>
      </c>
    </row>
    <row r="63" spans="1:2">
      <c r="A63" s="33" t="s">
        <v>17</v>
      </c>
      <c r="B63" s="35">
        <v>80724000</v>
      </c>
    </row>
    <row r="64" spans="1:2">
      <c r="A64" s="34" t="s">
        <v>22</v>
      </c>
      <c r="B64" s="35">
        <v>80724000</v>
      </c>
    </row>
    <row r="65" spans="1:2">
      <c r="A65" s="32" t="s">
        <v>114</v>
      </c>
      <c r="B65" s="35">
        <v>315000</v>
      </c>
    </row>
    <row r="66" spans="1:2">
      <c r="A66" s="33" t="s">
        <v>17</v>
      </c>
      <c r="B66" s="35">
        <v>315000</v>
      </c>
    </row>
    <row r="67" spans="1:2">
      <c r="A67" s="34" t="s">
        <v>22</v>
      </c>
      <c r="B67" s="35">
        <v>315000</v>
      </c>
    </row>
    <row r="68" spans="1:2">
      <c r="A68" s="32" t="s">
        <v>19</v>
      </c>
      <c r="B68" s="35">
        <v>22588018</v>
      </c>
    </row>
    <row r="69" spans="1:2">
      <c r="A69" s="33" t="s">
        <v>17</v>
      </c>
      <c r="B69" s="35">
        <v>22588018</v>
      </c>
    </row>
    <row r="70" spans="1:2">
      <c r="A70" s="34" t="s">
        <v>22</v>
      </c>
      <c r="B70" s="35">
        <v>22588018</v>
      </c>
    </row>
    <row r="71" spans="1:2">
      <c r="A71" s="32" t="s">
        <v>42</v>
      </c>
      <c r="B71" s="35">
        <v>290333</v>
      </c>
    </row>
    <row r="72" spans="1:2">
      <c r="A72" s="33" t="s">
        <v>17</v>
      </c>
      <c r="B72" s="35">
        <v>290333</v>
      </c>
    </row>
    <row r="73" spans="1:2">
      <c r="A73" s="34" t="s">
        <v>22</v>
      </c>
      <c r="B73" s="35">
        <v>290333</v>
      </c>
    </row>
    <row r="74" spans="1:2">
      <c r="A74" s="32" t="s">
        <v>82</v>
      </c>
      <c r="B74" s="35">
        <v>3820849</v>
      </c>
    </row>
    <row r="75" spans="1:2">
      <c r="A75" s="33" t="s">
        <v>17</v>
      </c>
      <c r="B75" s="35">
        <v>3820849</v>
      </c>
    </row>
    <row r="76" spans="1:2">
      <c r="A76" s="34" t="s">
        <v>22</v>
      </c>
      <c r="B76" s="35">
        <v>3820849</v>
      </c>
    </row>
    <row r="77" spans="1:2">
      <c r="A77" s="32" t="s">
        <v>98</v>
      </c>
      <c r="B77" s="35">
        <v>11281790</v>
      </c>
    </row>
    <row r="78" spans="1:2">
      <c r="A78" s="33" t="s">
        <v>17</v>
      </c>
      <c r="B78" s="35">
        <v>11281790</v>
      </c>
    </row>
    <row r="79" spans="1:2">
      <c r="A79" s="34" t="s">
        <v>22</v>
      </c>
      <c r="B79" s="35">
        <v>11281790</v>
      </c>
    </row>
    <row r="80" spans="1:2">
      <c r="A80" s="32" t="s">
        <v>34</v>
      </c>
      <c r="B80" s="35">
        <v>271493</v>
      </c>
    </row>
    <row r="81" spans="1:2">
      <c r="A81" s="33" t="s">
        <v>17</v>
      </c>
      <c r="B81" s="35">
        <v>271493</v>
      </c>
    </row>
    <row r="82" spans="1:2">
      <c r="A82" s="34" t="s">
        <v>22</v>
      </c>
      <c r="B82" s="35">
        <v>271493</v>
      </c>
    </row>
    <row r="83" spans="1:2">
      <c r="A83" s="31">
        <v>2021</v>
      </c>
      <c r="B83" s="35">
        <v>29018209352</v>
      </c>
    </row>
    <row r="84" spans="1:2">
      <c r="A84" s="32" t="s">
        <v>78</v>
      </c>
      <c r="B84" s="35">
        <v>1500000000</v>
      </c>
    </row>
    <row r="85" spans="1:2">
      <c r="A85" s="33" t="s">
        <v>17</v>
      </c>
      <c r="B85" s="35">
        <v>1500000000</v>
      </c>
    </row>
    <row r="86" spans="1:2">
      <c r="A86" s="34" t="s">
        <v>31</v>
      </c>
      <c r="B86" s="35">
        <v>1500000000</v>
      </c>
    </row>
    <row r="87" spans="1:2">
      <c r="A87" s="32" t="s">
        <v>59</v>
      </c>
      <c r="B87" s="35">
        <v>1468400000</v>
      </c>
    </row>
    <row r="88" spans="1:2">
      <c r="A88" s="33" t="s">
        <v>17</v>
      </c>
      <c r="B88" s="35">
        <v>1468400000</v>
      </c>
    </row>
    <row r="89" spans="1:2">
      <c r="A89" s="34" t="s">
        <v>31</v>
      </c>
      <c r="B89" s="35">
        <v>1468400000</v>
      </c>
    </row>
    <row r="90" spans="1:2">
      <c r="A90" s="32" t="s">
        <v>28</v>
      </c>
      <c r="B90" s="35">
        <v>364765</v>
      </c>
    </row>
    <row r="91" spans="1:2">
      <c r="A91" s="33" t="s">
        <v>17</v>
      </c>
      <c r="B91" s="35">
        <v>364765</v>
      </c>
    </row>
    <row r="92" spans="1:2">
      <c r="A92" s="34" t="s">
        <v>31</v>
      </c>
      <c r="B92" s="35">
        <v>364765</v>
      </c>
    </row>
    <row r="93" spans="1:2">
      <c r="A93" s="32" t="s">
        <v>67</v>
      </c>
      <c r="B93" s="35">
        <v>2814865960</v>
      </c>
    </row>
    <row r="94" spans="1:2">
      <c r="A94" s="33" t="s">
        <v>17</v>
      </c>
      <c r="B94" s="35">
        <v>2814865960</v>
      </c>
    </row>
    <row r="95" spans="1:2">
      <c r="A95" s="34" t="s">
        <v>31</v>
      </c>
      <c r="B95" s="35">
        <v>2814865960</v>
      </c>
    </row>
    <row r="96" spans="1:2">
      <c r="A96" s="32" t="s">
        <v>56</v>
      </c>
      <c r="B96" s="35">
        <v>121833999</v>
      </c>
    </row>
    <row r="97" spans="1:2">
      <c r="A97" s="33" t="s">
        <v>17</v>
      </c>
      <c r="B97" s="35">
        <v>121833999</v>
      </c>
    </row>
    <row r="98" spans="1:2">
      <c r="A98" s="34" t="s">
        <v>22</v>
      </c>
      <c r="B98" s="35">
        <v>121833999</v>
      </c>
    </row>
    <row r="99" spans="1:2">
      <c r="A99" s="32" t="s">
        <v>87</v>
      </c>
      <c r="B99" s="35">
        <v>577147</v>
      </c>
    </row>
    <row r="100" spans="1:2">
      <c r="A100" s="33" t="s">
        <v>17</v>
      </c>
      <c r="B100" s="35">
        <v>577147</v>
      </c>
    </row>
    <row r="101" spans="1:2">
      <c r="A101" s="34" t="s">
        <v>31</v>
      </c>
      <c r="B101" s="35">
        <v>577147</v>
      </c>
    </row>
    <row r="102" spans="1:2">
      <c r="A102" s="32" t="s">
        <v>105</v>
      </c>
      <c r="B102" s="35">
        <v>2693062496</v>
      </c>
    </row>
    <row r="103" spans="1:2">
      <c r="A103" s="33" t="s">
        <v>17</v>
      </c>
      <c r="B103" s="35">
        <v>2693062496</v>
      </c>
    </row>
    <row r="104" spans="1:2">
      <c r="A104" s="34" t="s">
        <v>31</v>
      </c>
      <c r="B104" s="35">
        <v>2693062496</v>
      </c>
    </row>
    <row r="105" spans="1:2">
      <c r="A105" s="32" t="s">
        <v>44</v>
      </c>
      <c r="B105" s="35">
        <v>167977000</v>
      </c>
    </row>
    <row r="106" spans="1:2">
      <c r="A106" s="33" t="s">
        <v>17</v>
      </c>
      <c r="B106" s="35">
        <v>167977000</v>
      </c>
    </row>
    <row r="107" spans="1:2">
      <c r="A107" s="34" t="s">
        <v>22</v>
      </c>
      <c r="B107" s="35">
        <v>167977000</v>
      </c>
    </row>
    <row r="108" spans="1:2">
      <c r="A108" s="32" t="s">
        <v>65</v>
      </c>
      <c r="B108" s="35">
        <v>1313650000</v>
      </c>
    </row>
    <row r="109" spans="1:2">
      <c r="A109" s="33" t="s">
        <v>17</v>
      </c>
      <c r="B109" s="35">
        <v>1313650000</v>
      </c>
    </row>
    <row r="110" spans="1:2">
      <c r="A110" s="34" t="s">
        <v>22</v>
      </c>
      <c r="B110" s="35">
        <v>1313650000</v>
      </c>
    </row>
    <row r="111" spans="1:2">
      <c r="A111" s="32" t="s">
        <v>96</v>
      </c>
      <c r="B111" s="35">
        <v>2111149470</v>
      </c>
    </row>
    <row r="112" spans="1:2">
      <c r="A112" s="33" t="s">
        <v>17</v>
      </c>
      <c r="B112" s="35">
        <v>2111149470</v>
      </c>
    </row>
    <row r="113" spans="1:2">
      <c r="A113" s="34" t="s">
        <v>22</v>
      </c>
      <c r="B113" s="35">
        <v>2111149470</v>
      </c>
    </row>
    <row r="114" spans="1:2">
      <c r="A114" s="32" t="s">
        <v>69</v>
      </c>
      <c r="B114" s="35">
        <v>703716490</v>
      </c>
    </row>
    <row r="115" spans="1:2">
      <c r="A115" s="33" t="s">
        <v>17</v>
      </c>
      <c r="B115" s="35">
        <v>703716490</v>
      </c>
    </row>
    <row r="116" spans="1:2">
      <c r="A116" s="34" t="s">
        <v>22</v>
      </c>
      <c r="B116" s="35">
        <v>703716490</v>
      </c>
    </row>
    <row r="117" spans="1:2">
      <c r="A117" s="32" t="s">
        <v>101</v>
      </c>
      <c r="B117" s="35">
        <v>3785303000</v>
      </c>
    </row>
    <row r="118" spans="1:2">
      <c r="A118" s="33" t="s">
        <v>17</v>
      </c>
      <c r="B118" s="35">
        <v>3785303000</v>
      </c>
    </row>
    <row r="119" spans="1:2">
      <c r="A119" s="34" t="s">
        <v>22</v>
      </c>
      <c r="B119" s="35">
        <v>3785303000</v>
      </c>
    </row>
    <row r="120" spans="1:2">
      <c r="A120" s="32" t="s">
        <v>38</v>
      </c>
      <c r="B120" s="35">
        <v>2111149470</v>
      </c>
    </row>
    <row r="121" spans="1:2">
      <c r="A121" s="33" t="s">
        <v>17</v>
      </c>
      <c r="B121" s="35">
        <v>2111149470</v>
      </c>
    </row>
    <row r="122" spans="1:2">
      <c r="A122" s="34" t="s">
        <v>22</v>
      </c>
      <c r="B122" s="35">
        <v>2111149470</v>
      </c>
    </row>
    <row r="123" spans="1:2">
      <c r="A123" s="32" t="s">
        <v>51</v>
      </c>
      <c r="B123" s="35">
        <v>1407432980</v>
      </c>
    </row>
    <row r="124" spans="1:2">
      <c r="A124" s="33" t="s">
        <v>17</v>
      </c>
      <c r="B124" s="35">
        <v>1407432980</v>
      </c>
    </row>
    <row r="125" spans="1:2">
      <c r="A125" s="34" t="s">
        <v>22</v>
      </c>
      <c r="B125" s="35">
        <v>1407432980</v>
      </c>
    </row>
    <row r="126" spans="1:2">
      <c r="A126" s="32" t="s">
        <v>122</v>
      </c>
      <c r="B126" s="35">
        <v>353431000</v>
      </c>
    </row>
    <row r="127" spans="1:2">
      <c r="A127" s="33" t="s">
        <v>17</v>
      </c>
      <c r="B127" s="35">
        <v>353431000</v>
      </c>
    </row>
    <row r="128" spans="1:2">
      <c r="A128" s="34" t="s">
        <v>22</v>
      </c>
      <c r="B128" s="35">
        <v>353431000</v>
      </c>
    </row>
    <row r="129" spans="1:2">
      <c r="A129" s="32" t="s">
        <v>85</v>
      </c>
      <c r="B129" s="35">
        <v>703716490</v>
      </c>
    </row>
    <row r="130" spans="1:2">
      <c r="A130" s="33" t="s">
        <v>17</v>
      </c>
      <c r="B130" s="35">
        <v>703716490</v>
      </c>
    </row>
    <row r="131" spans="1:2">
      <c r="A131" s="34" t="s">
        <v>22</v>
      </c>
      <c r="B131" s="35">
        <v>703716490</v>
      </c>
    </row>
    <row r="132" spans="1:2">
      <c r="A132" s="32" t="s">
        <v>47</v>
      </c>
      <c r="B132" s="35">
        <v>7432833000</v>
      </c>
    </row>
    <row r="133" spans="1:2">
      <c r="A133" s="33" t="s">
        <v>17</v>
      </c>
      <c r="B133" s="35">
        <v>7432833000</v>
      </c>
    </row>
    <row r="134" spans="1:2">
      <c r="A134" s="34" t="s">
        <v>22</v>
      </c>
      <c r="B134" s="35">
        <v>7432833000</v>
      </c>
    </row>
    <row r="135" spans="1:2">
      <c r="A135" s="32" t="s">
        <v>117</v>
      </c>
      <c r="B135" s="35">
        <v>53033000</v>
      </c>
    </row>
    <row r="136" spans="1:2">
      <c r="A136" s="33" t="s">
        <v>17</v>
      </c>
      <c r="B136" s="35">
        <v>53033000</v>
      </c>
    </row>
    <row r="137" spans="1:2">
      <c r="A137" s="34" t="s">
        <v>22</v>
      </c>
      <c r="B137" s="35">
        <v>53033000</v>
      </c>
    </row>
    <row r="138" spans="1:2">
      <c r="A138" s="32" t="s">
        <v>91</v>
      </c>
      <c r="B138" s="35">
        <v>6450000</v>
      </c>
    </row>
    <row r="139" spans="1:2">
      <c r="A139" s="33" t="s">
        <v>17</v>
      </c>
      <c r="B139" s="35">
        <v>6450000</v>
      </c>
    </row>
    <row r="140" spans="1:2">
      <c r="A140" s="34" t="s">
        <v>22</v>
      </c>
      <c r="B140" s="35">
        <v>6450000</v>
      </c>
    </row>
    <row r="141" spans="1:2">
      <c r="A141" s="32" t="s">
        <v>71</v>
      </c>
      <c r="B141" s="35">
        <v>206270897</v>
      </c>
    </row>
    <row r="142" spans="1:2">
      <c r="A142" s="33" t="s">
        <v>17</v>
      </c>
      <c r="B142" s="35">
        <v>206270897</v>
      </c>
    </row>
    <row r="143" spans="1:2">
      <c r="A143" s="34" t="s">
        <v>22</v>
      </c>
      <c r="B143" s="35">
        <v>206270897</v>
      </c>
    </row>
    <row r="144" spans="1:2">
      <c r="A144" s="32" t="s">
        <v>114</v>
      </c>
      <c r="B144" s="35">
        <v>631678</v>
      </c>
    </row>
    <row r="145" spans="1:2">
      <c r="A145" s="33" t="s">
        <v>17</v>
      </c>
      <c r="B145" s="35">
        <v>631678</v>
      </c>
    </row>
    <row r="146" spans="1:2">
      <c r="A146" s="34" t="s">
        <v>22</v>
      </c>
      <c r="B146" s="35">
        <v>631678</v>
      </c>
    </row>
    <row r="147" spans="1:2">
      <c r="A147" s="32" t="s">
        <v>19</v>
      </c>
      <c r="B147" s="35">
        <v>40726371</v>
      </c>
    </row>
    <row r="148" spans="1:2">
      <c r="A148" s="33" t="s">
        <v>17</v>
      </c>
      <c r="B148" s="35">
        <v>40726371</v>
      </c>
    </row>
    <row r="149" spans="1:2">
      <c r="A149" s="34" t="s">
        <v>22</v>
      </c>
      <c r="B149" s="35">
        <v>40726371</v>
      </c>
    </row>
    <row r="150" spans="1:2">
      <c r="A150" s="32" t="s">
        <v>42</v>
      </c>
      <c r="B150" s="35">
        <v>486487</v>
      </c>
    </row>
    <row r="151" spans="1:2">
      <c r="A151" s="33" t="s">
        <v>17</v>
      </c>
      <c r="B151" s="35">
        <v>486487</v>
      </c>
    </row>
    <row r="152" spans="1:2">
      <c r="A152" s="34" t="s">
        <v>22</v>
      </c>
      <c r="B152" s="35">
        <v>486487</v>
      </c>
    </row>
    <row r="153" spans="1:2">
      <c r="A153" s="32" t="s">
        <v>82</v>
      </c>
      <c r="B153" s="35">
        <v>3365156</v>
      </c>
    </row>
    <row r="154" spans="1:2">
      <c r="A154" s="33" t="s">
        <v>17</v>
      </c>
      <c r="B154" s="35">
        <v>3365156</v>
      </c>
    </row>
    <row r="155" spans="1:2">
      <c r="A155" s="34" t="s">
        <v>22</v>
      </c>
      <c r="B155" s="35">
        <v>3365156</v>
      </c>
    </row>
    <row r="156" spans="1:2">
      <c r="A156" s="32" t="s">
        <v>98</v>
      </c>
      <c r="B156" s="35">
        <v>17483818</v>
      </c>
    </row>
    <row r="157" spans="1:2">
      <c r="A157" s="33" t="s">
        <v>17</v>
      </c>
      <c r="B157" s="35">
        <v>17483818</v>
      </c>
    </row>
    <row r="158" spans="1:2">
      <c r="A158" s="34" t="s">
        <v>22</v>
      </c>
      <c r="B158" s="35">
        <v>17483818</v>
      </c>
    </row>
    <row r="159" spans="1:2">
      <c r="A159" s="32" t="s">
        <v>34</v>
      </c>
      <c r="B159" s="35">
        <v>298678</v>
      </c>
    </row>
    <row r="160" spans="1:2">
      <c r="A160" s="33" t="s">
        <v>17</v>
      </c>
      <c r="B160" s="35">
        <v>298678</v>
      </c>
    </row>
    <row r="161" spans="1:2">
      <c r="A161" s="34" t="s">
        <v>22</v>
      </c>
      <c r="B161" s="35">
        <v>298678</v>
      </c>
    </row>
    <row r="162" spans="1:2">
      <c r="A162" s="31">
        <v>2022</v>
      </c>
      <c r="B162" s="35">
        <v>40593095036</v>
      </c>
    </row>
    <row r="163" spans="1:2">
      <c r="A163" s="32" t="s">
        <v>78</v>
      </c>
      <c r="B163" s="35">
        <v>1500000000</v>
      </c>
    </row>
    <row r="164" spans="1:2">
      <c r="A164" s="33" t="s">
        <v>17</v>
      </c>
      <c r="B164" s="35">
        <v>1500000000</v>
      </c>
    </row>
    <row r="165" spans="1:2">
      <c r="A165" s="34" t="s">
        <v>31</v>
      </c>
      <c r="B165" s="35">
        <v>1500000000</v>
      </c>
    </row>
    <row r="166" spans="1:2">
      <c r="A166" s="32" t="s">
        <v>59</v>
      </c>
      <c r="B166" s="35">
        <v>1771500000</v>
      </c>
    </row>
    <row r="167" spans="1:2">
      <c r="A167" s="33" t="s">
        <v>17</v>
      </c>
      <c r="B167" s="35">
        <v>1771500000</v>
      </c>
    </row>
    <row r="168" spans="1:2">
      <c r="A168" s="34" t="s">
        <v>31</v>
      </c>
      <c r="B168" s="35">
        <v>1771500000</v>
      </c>
    </row>
    <row r="169" spans="1:2">
      <c r="A169" s="32" t="s">
        <v>28</v>
      </c>
      <c r="B169" s="35">
        <v>403000</v>
      </c>
    </row>
    <row r="170" spans="1:2">
      <c r="A170" s="33" t="s">
        <v>17</v>
      </c>
      <c r="B170" s="35">
        <v>403000</v>
      </c>
    </row>
    <row r="171" spans="1:2">
      <c r="A171" s="34" t="s">
        <v>31</v>
      </c>
      <c r="B171" s="35">
        <v>403000</v>
      </c>
    </row>
    <row r="172" spans="1:2">
      <c r="A172" s="32" t="s">
        <v>67</v>
      </c>
      <c r="B172" s="35">
        <v>2814865960</v>
      </c>
    </row>
    <row r="173" spans="1:2">
      <c r="A173" s="33" t="s">
        <v>17</v>
      </c>
      <c r="B173" s="35">
        <v>2814865960</v>
      </c>
    </row>
    <row r="174" spans="1:2">
      <c r="A174" s="34" t="s">
        <v>31</v>
      </c>
      <c r="B174" s="35">
        <v>2814865960</v>
      </c>
    </row>
    <row r="175" spans="1:2">
      <c r="A175" s="32" t="s">
        <v>56</v>
      </c>
      <c r="B175" s="35">
        <v>121834000</v>
      </c>
    </row>
    <row r="176" spans="1:2">
      <c r="A176" s="33" t="s">
        <v>17</v>
      </c>
      <c r="B176" s="35">
        <v>121834000</v>
      </c>
    </row>
    <row r="177" spans="1:2">
      <c r="A177" s="34" t="s">
        <v>22</v>
      </c>
      <c r="B177" s="35">
        <v>121834000</v>
      </c>
    </row>
    <row r="178" spans="1:2">
      <c r="A178" s="32" t="s">
        <v>87</v>
      </c>
      <c r="B178" s="35">
        <v>605000</v>
      </c>
    </row>
    <row r="179" spans="1:2">
      <c r="A179" s="33" t="s">
        <v>17</v>
      </c>
      <c r="B179" s="35">
        <v>605000</v>
      </c>
    </row>
    <row r="180" spans="1:2">
      <c r="A180" s="34" t="s">
        <v>31</v>
      </c>
      <c r="B180" s="35">
        <v>605000</v>
      </c>
    </row>
    <row r="181" spans="1:2">
      <c r="A181" s="32" t="s">
        <v>105</v>
      </c>
      <c r="B181" s="35">
        <v>2729279431</v>
      </c>
    </row>
    <row r="182" spans="1:2">
      <c r="A182" s="33" t="s">
        <v>17</v>
      </c>
      <c r="B182" s="35">
        <v>2729279431</v>
      </c>
    </row>
    <row r="183" spans="1:2">
      <c r="A183" s="34" t="s">
        <v>31</v>
      </c>
      <c r="B183" s="35">
        <v>2729279431</v>
      </c>
    </row>
    <row r="184" spans="1:2">
      <c r="A184" s="32" t="s">
        <v>44</v>
      </c>
      <c r="B184" s="35">
        <v>557796000</v>
      </c>
    </row>
    <row r="185" spans="1:2">
      <c r="A185" s="33" t="s">
        <v>17</v>
      </c>
      <c r="B185" s="35">
        <v>557796000</v>
      </c>
    </row>
    <row r="186" spans="1:2">
      <c r="A186" s="34" t="s">
        <v>22</v>
      </c>
      <c r="B186" s="35">
        <v>557796000</v>
      </c>
    </row>
    <row r="187" spans="1:2">
      <c r="A187" s="32" t="s">
        <v>65</v>
      </c>
      <c r="B187" s="35">
        <v>10293509000</v>
      </c>
    </row>
    <row r="188" spans="1:2">
      <c r="A188" s="33" t="s">
        <v>17</v>
      </c>
      <c r="B188" s="35">
        <v>10293509000</v>
      </c>
    </row>
    <row r="189" spans="1:2">
      <c r="A189" s="34" t="s">
        <v>22</v>
      </c>
      <c r="B189" s="35">
        <v>10293509000</v>
      </c>
    </row>
    <row r="190" spans="1:2">
      <c r="A190" s="32" t="s">
        <v>96</v>
      </c>
      <c r="B190" s="35">
        <v>2111149470</v>
      </c>
    </row>
    <row r="191" spans="1:2">
      <c r="A191" s="33" t="s">
        <v>17</v>
      </c>
      <c r="B191" s="35">
        <v>2111149470</v>
      </c>
    </row>
    <row r="192" spans="1:2">
      <c r="A192" s="34" t="s">
        <v>22</v>
      </c>
      <c r="B192" s="35">
        <v>2111149470</v>
      </c>
    </row>
    <row r="193" spans="1:2">
      <c r="A193" s="32" t="s">
        <v>69</v>
      </c>
      <c r="B193" s="35">
        <v>703716490</v>
      </c>
    </row>
    <row r="194" spans="1:2">
      <c r="A194" s="33" t="s">
        <v>17</v>
      </c>
      <c r="B194" s="35">
        <v>703716490</v>
      </c>
    </row>
    <row r="195" spans="1:2">
      <c r="A195" s="34" t="s">
        <v>22</v>
      </c>
      <c r="B195" s="35">
        <v>703716490</v>
      </c>
    </row>
    <row r="196" spans="1:2">
      <c r="A196" s="32" t="s">
        <v>101</v>
      </c>
      <c r="B196" s="35">
        <v>4736847000</v>
      </c>
    </row>
    <row r="197" spans="1:2">
      <c r="A197" s="33" t="s">
        <v>17</v>
      </c>
      <c r="B197" s="35">
        <v>4736847000</v>
      </c>
    </row>
    <row r="198" spans="1:2">
      <c r="A198" s="34" t="s">
        <v>22</v>
      </c>
      <c r="B198" s="35">
        <v>4736847000</v>
      </c>
    </row>
    <row r="199" spans="1:2">
      <c r="A199" s="32" t="s">
        <v>38</v>
      </c>
      <c r="B199" s="35">
        <v>2111149470</v>
      </c>
    </row>
    <row r="200" spans="1:2">
      <c r="A200" s="33" t="s">
        <v>17</v>
      </c>
      <c r="B200" s="35">
        <v>2111149470</v>
      </c>
    </row>
    <row r="201" spans="1:2">
      <c r="A201" s="34" t="s">
        <v>22</v>
      </c>
      <c r="B201" s="35">
        <v>2111149470</v>
      </c>
    </row>
    <row r="202" spans="1:2">
      <c r="A202" s="32" t="s">
        <v>51</v>
      </c>
      <c r="B202" s="35">
        <v>1407432980</v>
      </c>
    </row>
    <row r="203" spans="1:2">
      <c r="A203" s="33" t="s">
        <v>17</v>
      </c>
      <c r="B203" s="35">
        <v>1407432980</v>
      </c>
    </row>
    <row r="204" spans="1:2">
      <c r="A204" s="34" t="s">
        <v>22</v>
      </c>
      <c r="B204" s="35">
        <v>1407432980</v>
      </c>
    </row>
    <row r="205" spans="1:2">
      <c r="A205" s="32" t="s">
        <v>122</v>
      </c>
      <c r="B205" s="35">
        <v>512797000</v>
      </c>
    </row>
    <row r="206" spans="1:2">
      <c r="A206" s="33" t="s">
        <v>17</v>
      </c>
      <c r="B206" s="35">
        <v>512797000</v>
      </c>
    </row>
    <row r="207" spans="1:2">
      <c r="A207" s="34" t="s">
        <v>22</v>
      </c>
      <c r="B207" s="35">
        <v>512797000</v>
      </c>
    </row>
    <row r="208" spans="1:2">
      <c r="A208" s="32" t="s">
        <v>85</v>
      </c>
      <c r="B208" s="35">
        <v>703716490</v>
      </c>
    </row>
    <row r="209" spans="1:2">
      <c r="A209" s="33" t="s">
        <v>17</v>
      </c>
      <c r="B209" s="35">
        <v>703716490</v>
      </c>
    </row>
    <row r="210" spans="1:2">
      <c r="A210" s="34" t="s">
        <v>22</v>
      </c>
      <c r="B210" s="35">
        <v>703716490</v>
      </c>
    </row>
    <row r="211" spans="1:2">
      <c r="A211" s="32" t="s">
        <v>47</v>
      </c>
      <c r="B211" s="35">
        <v>6697557000</v>
      </c>
    </row>
    <row r="212" spans="1:2">
      <c r="A212" s="33" t="s">
        <v>17</v>
      </c>
      <c r="B212" s="35">
        <v>6697557000</v>
      </c>
    </row>
    <row r="213" spans="1:2">
      <c r="A213" s="34" t="s">
        <v>22</v>
      </c>
      <c r="B213" s="35">
        <v>6697557000</v>
      </c>
    </row>
    <row r="214" spans="1:2">
      <c r="A214" s="32" t="s">
        <v>117</v>
      </c>
      <c r="B214" s="35">
        <v>149270000</v>
      </c>
    </row>
    <row r="215" spans="1:2">
      <c r="A215" s="33" t="s">
        <v>17</v>
      </c>
      <c r="B215" s="35">
        <v>149270000</v>
      </c>
    </row>
    <row r="216" spans="1:2">
      <c r="A216" s="34" t="s">
        <v>22</v>
      </c>
      <c r="B216" s="35">
        <v>149270000</v>
      </c>
    </row>
    <row r="217" spans="1:2">
      <c r="A217" s="32" t="s">
        <v>91</v>
      </c>
      <c r="B217" s="35">
        <v>84882000</v>
      </c>
    </row>
    <row r="218" spans="1:2">
      <c r="A218" s="33" t="s">
        <v>17</v>
      </c>
      <c r="B218" s="35">
        <v>84882000</v>
      </c>
    </row>
    <row r="219" spans="1:2">
      <c r="A219" s="34" t="s">
        <v>22</v>
      </c>
      <c r="B219" s="35">
        <v>84882000</v>
      </c>
    </row>
    <row r="220" spans="1:2">
      <c r="A220" s="32" t="s">
        <v>71</v>
      </c>
      <c r="B220" s="35">
        <v>107228899</v>
      </c>
    </row>
    <row r="221" spans="1:2">
      <c r="A221" s="33" t="s">
        <v>17</v>
      </c>
      <c r="B221" s="35">
        <v>107228899</v>
      </c>
    </row>
    <row r="222" spans="1:2">
      <c r="A222" s="34" t="s">
        <v>22</v>
      </c>
      <c r="B222" s="35">
        <v>107228899</v>
      </c>
    </row>
    <row r="223" spans="1:2">
      <c r="A223" s="32" t="s">
        <v>114</v>
      </c>
      <c r="B223" s="35">
        <v>1407432980</v>
      </c>
    </row>
    <row r="224" spans="1:2">
      <c r="A224" s="33" t="s">
        <v>17</v>
      </c>
      <c r="B224" s="35">
        <v>1407432980</v>
      </c>
    </row>
    <row r="225" spans="1:2">
      <c r="A225" s="34" t="s">
        <v>22</v>
      </c>
      <c r="B225" s="35">
        <v>1407432980</v>
      </c>
    </row>
    <row r="226" spans="1:2">
      <c r="A226" s="32" t="s">
        <v>19</v>
      </c>
      <c r="B226" s="35">
        <v>25419007</v>
      </c>
    </row>
    <row r="227" spans="1:2">
      <c r="A227" s="33" t="s">
        <v>17</v>
      </c>
      <c r="B227" s="35">
        <v>25419007</v>
      </c>
    </row>
    <row r="228" spans="1:2">
      <c r="A228" s="34" t="s">
        <v>22</v>
      </c>
      <c r="B228" s="35">
        <v>25419007</v>
      </c>
    </row>
    <row r="229" spans="1:2">
      <c r="A229" s="32" t="s">
        <v>42</v>
      </c>
      <c r="B229" s="35">
        <v>2628805</v>
      </c>
    </row>
    <row r="230" spans="1:2">
      <c r="A230" s="33" t="s">
        <v>17</v>
      </c>
      <c r="B230" s="35">
        <v>2628805</v>
      </c>
    </row>
    <row r="231" spans="1:2">
      <c r="A231" s="34" t="s">
        <v>22</v>
      </c>
      <c r="B231" s="35">
        <v>2628805</v>
      </c>
    </row>
    <row r="232" spans="1:2">
      <c r="A232" s="32" t="s">
        <v>82</v>
      </c>
      <c r="B232" s="35">
        <v>5861730</v>
      </c>
    </row>
    <row r="233" spans="1:2">
      <c r="A233" s="33" t="s">
        <v>17</v>
      </c>
      <c r="B233" s="35">
        <v>5861730</v>
      </c>
    </row>
    <row r="234" spans="1:2">
      <c r="A234" s="34" t="s">
        <v>22</v>
      </c>
      <c r="B234" s="35">
        <v>5861730</v>
      </c>
    </row>
    <row r="235" spans="1:2">
      <c r="A235" s="32" t="s">
        <v>98</v>
      </c>
      <c r="B235" s="35">
        <v>35870962</v>
      </c>
    </row>
    <row r="236" spans="1:2">
      <c r="A236" s="33" t="s">
        <v>17</v>
      </c>
      <c r="B236" s="35">
        <v>35870962</v>
      </c>
    </row>
    <row r="237" spans="1:2">
      <c r="A237" s="34" t="s">
        <v>22</v>
      </c>
      <c r="B237" s="35">
        <v>35870962</v>
      </c>
    </row>
    <row r="238" spans="1:2">
      <c r="A238" s="32" t="s">
        <v>34</v>
      </c>
      <c r="B238" s="35">
        <v>342362</v>
      </c>
    </row>
    <row r="239" spans="1:2">
      <c r="A239" s="33" t="s">
        <v>17</v>
      </c>
      <c r="B239" s="35">
        <v>342362</v>
      </c>
    </row>
    <row r="240" spans="1:2">
      <c r="A240" s="34" t="s">
        <v>22</v>
      </c>
      <c r="B240" s="35">
        <v>342362</v>
      </c>
    </row>
    <row r="241" spans="1:2">
      <c r="A241" s="31">
        <v>2023</v>
      </c>
      <c r="B241" s="35">
        <v>49990894808</v>
      </c>
    </row>
    <row r="242" spans="1:2">
      <c r="A242" s="32" t="s">
        <v>78</v>
      </c>
      <c r="B242" s="35">
        <v>1407432980</v>
      </c>
    </row>
    <row r="243" spans="1:2">
      <c r="A243" s="33" t="s">
        <v>17</v>
      </c>
      <c r="B243" s="35">
        <v>1407432980</v>
      </c>
    </row>
    <row r="244" spans="1:2">
      <c r="A244" s="34" t="s">
        <v>31</v>
      </c>
      <c r="B244" s="35">
        <v>1407432980</v>
      </c>
    </row>
    <row r="245" spans="1:2">
      <c r="A245" s="32" t="s">
        <v>59</v>
      </c>
      <c r="B245" s="35">
        <v>703716490</v>
      </c>
    </row>
    <row r="246" spans="1:2">
      <c r="A246" s="33" t="s">
        <v>17</v>
      </c>
      <c r="B246" s="35">
        <v>703716490</v>
      </c>
    </row>
    <row r="247" spans="1:2">
      <c r="A247" s="34" t="s">
        <v>31</v>
      </c>
      <c r="B247" s="35">
        <v>703716490</v>
      </c>
    </row>
    <row r="248" spans="1:2">
      <c r="A248" s="32" t="s">
        <v>28</v>
      </c>
      <c r="B248" s="35">
        <v>422000</v>
      </c>
    </row>
    <row r="249" spans="1:2">
      <c r="A249" s="33" t="s">
        <v>17</v>
      </c>
      <c r="B249" s="35">
        <v>422000</v>
      </c>
    </row>
    <row r="250" spans="1:2">
      <c r="A250" s="34" t="s">
        <v>31</v>
      </c>
      <c r="B250" s="35">
        <v>422000</v>
      </c>
    </row>
    <row r="251" spans="1:2">
      <c r="A251" s="32" t="s">
        <v>67</v>
      </c>
      <c r="B251" s="35">
        <v>2814865960</v>
      </c>
    </row>
    <row r="252" spans="1:2">
      <c r="A252" s="33" t="s">
        <v>17</v>
      </c>
      <c r="B252" s="35">
        <v>2814865960</v>
      </c>
    </row>
    <row r="253" spans="1:2">
      <c r="A253" s="34" t="s">
        <v>31</v>
      </c>
      <c r="B253" s="35">
        <v>2814865960</v>
      </c>
    </row>
    <row r="254" spans="1:2">
      <c r="A254" s="32" t="s">
        <v>56</v>
      </c>
      <c r="B254" s="35">
        <v>4222298940</v>
      </c>
    </row>
    <row r="255" spans="1:2">
      <c r="A255" s="33" t="s">
        <v>17</v>
      </c>
      <c r="B255" s="35">
        <v>4222298940</v>
      </c>
    </row>
    <row r="256" spans="1:2">
      <c r="A256" s="34" t="s">
        <v>22</v>
      </c>
      <c r="B256" s="35">
        <v>4222298940</v>
      </c>
    </row>
    <row r="257" spans="1:2">
      <c r="A257" s="32" t="s">
        <v>87</v>
      </c>
      <c r="B257" s="35">
        <v>634600</v>
      </c>
    </row>
    <row r="258" spans="1:2">
      <c r="A258" s="33" t="s">
        <v>17</v>
      </c>
      <c r="B258" s="35">
        <v>634600</v>
      </c>
    </row>
    <row r="259" spans="1:2">
      <c r="A259" s="34" t="s">
        <v>31</v>
      </c>
      <c r="B259" s="35">
        <v>634600</v>
      </c>
    </row>
    <row r="260" spans="1:2">
      <c r="A260" s="32" t="s">
        <v>105</v>
      </c>
      <c r="B260" s="35">
        <v>3666073536</v>
      </c>
    </row>
    <row r="261" spans="1:2">
      <c r="A261" s="33" t="s">
        <v>17</v>
      </c>
      <c r="B261" s="35">
        <v>3666073536</v>
      </c>
    </row>
    <row r="262" spans="1:2">
      <c r="A262" s="34" t="s">
        <v>31</v>
      </c>
      <c r="B262" s="35">
        <v>3666073536</v>
      </c>
    </row>
    <row r="263" spans="1:2">
      <c r="A263" s="32" t="s">
        <v>44</v>
      </c>
      <c r="B263" s="35">
        <v>1717747000</v>
      </c>
    </row>
    <row r="264" spans="1:2">
      <c r="A264" s="33" t="s">
        <v>17</v>
      </c>
      <c r="B264" s="35">
        <v>1717747000</v>
      </c>
    </row>
    <row r="265" spans="1:2">
      <c r="A265" s="34" t="s">
        <v>22</v>
      </c>
      <c r="B265" s="35">
        <v>1717747000</v>
      </c>
    </row>
    <row r="266" spans="1:2">
      <c r="A266" s="32" t="s">
        <v>65</v>
      </c>
      <c r="B266" s="35">
        <v>9595353000</v>
      </c>
    </row>
    <row r="267" spans="1:2">
      <c r="A267" s="33" t="s">
        <v>17</v>
      </c>
      <c r="B267" s="35">
        <v>9595353000</v>
      </c>
    </row>
    <row r="268" spans="1:2">
      <c r="A268" s="34" t="s">
        <v>22</v>
      </c>
      <c r="B268" s="35">
        <v>9595353000</v>
      </c>
    </row>
    <row r="269" spans="1:2">
      <c r="A269" s="32" t="s">
        <v>96</v>
      </c>
      <c r="B269" s="35">
        <v>2111149470</v>
      </c>
    </row>
    <row r="270" spans="1:2">
      <c r="A270" s="33" t="s">
        <v>17</v>
      </c>
      <c r="B270" s="35">
        <v>2111149470</v>
      </c>
    </row>
    <row r="271" spans="1:2">
      <c r="A271" s="34" t="s">
        <v>22</v>
      </c>
      <c r="B271" s="35">
        <v>2111149470</v>
      </c>
    </row>
    <row r="272" spans="1:2">
      <c r="A272" s="32" t="s">
        <v>69</v>
      </c>
      <c r="B272" s="35">
        <v>703716490</v>
      </c>
    </row>
    <row r="273" spans="1:2">
      <c r="A273" s="33" t="s">
        <v>17</v>
      </c>
      <c r="B273" s="35">
        <v>703716490</v>
      </c>
    </row>
    <row r="274" spans="1:2">
      <c r="A274" s="34" t="s">
        <v>22</v>
      </c>
      <c r="B274" s="35">
        <v>703716490</v>
      </c>
    </row>
    <row r="275" spans="1:2">
      <c r="A275" s="32" t="s">
        <v>101</v>
      </c>
      <c r="B275" s="35">
        <v>5550230000</v>
      </c>
    </row>
    <row r="276" spans="1:2">
      <c r="A276" s="33" t="s">
        <v>17</v>
      </c>
      <c r="B276" s="35">
        <v>5550230000</v>
      </c>
    </row>
    <row r="277" spans="1:2">
      <c r="A277" s="34" t="s">
        <v>22</v>
      </c>
      <c r="B277" s="35">
        <v>5550230000</v>
      </c>
    </row>
    <row r="278" spans="1:2">
      <c r="A278" s="32" t="s">
        <v>38</v>
      </c>
      <c r="B278" s="35">
        <v>2111149470</v>
      </c>
    </row>
    <row r="279" spans="1:2">
      <c r="A279" s="33" t="s">
        <v>17</v>
      </c>
      <c r="B279" s="35">
        <v>2111149470</v>
      </c>
    </row>
    <row r="280" spans="1:2">
      <c r="A280" s="34" t="s">
        <v>22</v>
      </c>
      <c r="B280" s="35">
        <v>2111149470</v>
      </c>
    </row>
    <row r="281" spans="1:2">
      <c r="A281" s="32" t="s">
        <v>51</v>
      </c>
      <c r="B281" s="35">
        <v>1407432980</v>
      </c>
    </row>
    <row r="282" spans="1:2">
      <c r="A282" s="33" t="s">
        <v>17</v>
      </c>
      <c r="B282" s="35">
        <v>1407432980</v>
      </c>
    </row>
    <row r="283" spans="1:2">
      <c r="A283" s="34" t="s">
        <v>22</v>
      </c>
      <c r="B283" s="35">
        <v>1407432980</v>
      </c>
    </row>
    <row r="284" spans="1:2">
      <c r="A284" s="32" t="s">
        <v>122</v>
      </c>
      <c r="B284" s="35">
        <v>870475000</v>
      </c>
    </row>
    <row r="285" spans="1:2">
      <c r="A285" s="33" t="s">
        <v>17</v>
      </c>
      <c r="B285" s="35">
        <v>870475000</v>
      </c>
    </row>
    <row r="286" spans="1:2">
      <c r="A286" s="34" t="s">
        <v>22</v>
      </c>
      <c r="B286" s="35">
        <v>870475000</v>
      </c>
    </row>
    <row r="287" spans="1:2">
      <c r="A287" s="32" t="s">
        <v>85</v>
      </c>
      <c r="B287" s="35">
        <v>703716490</v>
      </c>
    </row>
    <row r="288" spans="1:2">
      <c r="A288" s="33" t="s">
        <v>17</v>
      </c>
      <c r="B288" s="35">
        <v>703716490</v>
      </c>
    </row>
    <row r="289" spans="1:2">
      <c r="A289" s="34" t="s">
        <v>22</v>
      </c>
      <c r="B289" s="35">
        <v>703716490</v>
      </c>
    </row>
    <row r="290" spans="1:2">
      <c r="A290" s="32" t="s">
        <v>47</v>
      </c>
      <c r="B290" s="35">
        <v>8378605000</v>
      </c>
    </row>
    <row r="291" spans="1:2">
      <c r="A291" s="33" t="s">
        <v>17</v>
      </c>
      <c r="B291" s="35">
        <v>8378605000</v>
      </c>
    </row>
    <row r="292" spans="1:2">
      <c r="A292" s="34" t="s">
        <v>22</v>
      </c>
      <c r="B292" s="35">
        <v>8378605000</v>
      </c>
    </row>
    <row r="293" spans="1:2">
      <c r="A293" s="32" t="s">
        <v>117</v>
      </c>
      <c r="B293" s="35">
        <v>253387000</v>
      </c>
    </row>
    <row r="294" spans="1:2">
      <c r="A294" s="33" t="s">
        <v>17</v>
      </c>
      <c r="B294" s="35">
        <v>253387000</v>
      </c>
    </row>
    <row r="295" spans="1:2">
      <c r="A295" s="34" t="s">
        <v>22</v>
      </c>
      <c r="B295" s="35">
        <v>253387000</v>
      </c>
    </row>
    <row r="296" spans="1:2">
      <c r="A296" s="32" t="s">
        <v>91</v>
      </c>
      <c r="B296" s="35">
        <v>144087000</v>
      </c>
    </row>
    <row r="297" spans="1:2">
      <c r="A297" s="33" t="s">
        <v>17</v>
      </c>
      <c r="B297" s="35">
        <v>144087000</v>
      </c>
    </row>
    <row r="298" spans="1:2">
      <c r="A298" s="34" t="s">
        <v>22</v>
      </c>
      <c r="B298" s="35">
        <v>144087000</v>
      </c>
    </row>
    <row r="299" spans="1:2">
      <c r="A299" s="32" t="s">
        <v>71</v>
      </c>
      <c r="B299" s="35">
        <v>733042895</v>
      </c>
    </row>
    <row r="300" spans="1:2">
      <c r="A300" s="33" t="s">
        <v>17</v>
      </c>
      <c r="B300" s="35">
        <v>733042895</v>
      </c>
    </row>
    <row r="301" spans="1:2">
      <c r="A301" s="34" t="s">
        <v>22</v>
      </c>
      <c r="B301" s="35">
        <v>733042895</v>
      </c>
    </row>
    <row r="302" spans="1:2">
      <c r="A302" s="32" t="s">
        <v>114</v>
      </c>
      <c r="B302" s="35">
        <v>1407432980</v>
      </c>
    </row>
    <row r="303" spans="1:2">
      <c r="A303" s="33" t="s">
        <v>17</v>
      </c>
      <c r="B303" s="35">
        <v>1407432980</v>
      </c>
    </row>
    <row r="304" spans="1:2">
      <c r="A304" s="34" t="s">
        <v>22</v>
      </c>
      <c r="B304" s="35">
        <v>1407432980</v>
      </c>
    </row>
    <row r="305" spans="1:2">
      <c r="A305" s="32" t="s">
        <v>19</v>
      </c>
      <c r="B305" s="35">
        <v>710565843</v>
      </c>
    </row>
    <row r="306" spans="1:2">
      <c r="A306" s="33" t="s">
        <v>17</v>
      </c>
      <c r="B306" s="35">
        <v>710565843</v>
      </c>
    </row>
    <row r="307" spans="1:2">
      <c r="A307" s="34" t="s">
        <v>22</v>
      </c>
      <c r="B307" s="35">
        <v>710565843</v>
      </c>
    </row>
    <row r="308" spans="1:2">
      <c r="A308" s="32" t="s">
        <v>42</v>
      </c>
      <c r="B308" s="35">
        <v>705862959</v>
      </c>
    </row>
    <row r="309" spans="1:2">
      <c r="A309" s="33" t="s">
        <v>17</v>
      </c>
      <c r="B309" s="35">
        <v>705862959</v>
      </c>
    </row>
    <row r="310" spans="1:2">
      <c r="A310" s="34" t="s">
        <v>22</v>
      </c>
      <c r="B310" s="35">
        <v>705862959</v>
      </c>
    </row>
    <row r="311" spans="1:2">
      <c r="A311" s="32" t="s">
        <v>82</v>
      </c>
      <c r="B311" s="35">
        <v>4294332</v>
      </c>
    </row>
    <row r="312" spans="1:2">
      <c r="A312" s="33" t="s">
        <v>17</v>
      </c>
      <c r="B312" s="35">
        <v>4294332</v>
      </c>
    </row>
    <row r="313" spans="1:2">
      <c r="A313" s="34" t="s">
        <v>22</v>
      </c>
      <c r="B313" s="35">
        <v>4294332</v>
      </c>
    </row>
    <row r="314" spans="1:2">
      <c r="A314" s="32" t="s">
        <v>98</v>
      </c>
      <c r="B314" s="35">
        <v>66886545</v>
      </c>
    </row>
    <row r="315" spans="1:2">
      <c r="A315" s="33" t="s">
        <v>17</v>
      </c>
      <c r="B315" s="35">
        <v>66886545</v>
      </c>
    </row>
    <row r="316" spans="1:2">
      <c r="A316" s="34" t="s">
        <v>22</v>
      </c>
      <c r="B316" s="35">
        <v>66886545</v>
      </c>
    </row>
    <row r="317" spans="1:2">
      <c r="A317" s="32" t="s">
        <v>34</v>
      </c>
      <c r="B317" s="35">
        <v>315848</v>
      </c>
    </row>
    <row r="318" spans="1:2">
      <c r="A318" s="33" t="s">
        <v>17</v>
      </c>
      <c r="B318" s="35">
        <v>315848</v>
      </c>
    </row>
    <row r="319" spans="1:2">
      <c r="A319" s="34" t="s">
        <v>22</v>
      </c>
      <c r="B319" s="35">
        <v>315848</v>
      </c>
    </row>
    <row r="320" spans="1:2">
      <c r="A320" s="31" t="s">
        <v>173</v>
      </c>
      <c r="B320" s="35"/>
    </row>
    <row r="321" spans="1:2">
      <c r="A321" s="32" t="s">
        <v>173</v>
      </c>
      <c r="B321" s="35"/>
    </row>
    <row r="322" spans="1:2">
      <c r="A322" s="33" t="s">
        <v>173</v>
      </c>
      <c r="B322" s="35"/>
    </row>
    <row r="323" spans="1:2">
      <c r="A323" s="34" t="s">
        <v>173</v>
      </c>
      <c r="B323" s="35"/>
    </row>
    <row r="324" spans="1:2">
      <c r="A324" s="31" t="s">
        <v>174</v>
      </c>
      <c r="B324" s="35">
        <v>147448908252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Turkey_Fossil_Fuel_Support_Enha</vt:lpstr>
      <vt:lpstr>Master Sheet</vt:lpstr>
      <vt:lpstr>CPI Benchmarks</vt:lpstr>
      <vt:lpstr>EDA</vt:lpstr>
      <vt:lpstr>Advanced Analysis</vt:lpstr>
      <vt:lpstr>Dashboard</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Favour Ndolo</dc:creator>
  <cp:lastModifiedBy>USER</cp:lastModifiedBy>
  <dcterms:created xsi:type="dcterms:W3CDTF">2026-05-10T17:20:56Z</dcterms:created>
  <dcterms:modified xsi:type="dcterms:W3CDTF">2026-05-17T17:12:02Z</dcterms:modified>
</cp:coreProperties>
</file>